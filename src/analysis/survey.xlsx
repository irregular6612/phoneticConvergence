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713"/>
  <workbookPr/>
  <mc:AlternateContent xmlns:mc="http://schemas.openxmlformats.org/markup-compatibility/2006">
    <mc:Choice Requires="x15">
      <x15ac:absPath xmlns:x15ac="http://schemas.microsoft.com/office/spreadsheetml/2010/11/ac" url="/Users/bagjuhyeon/Documents/WorkSpace/phoneticConvergence/data/experiment_data/"/>
    </mc:Choice>
  </mc:AlternateContent>
  <xr:revisionPtr revIDLastSave="0" documentId="13_ncr:1_{CD188306-C79D-1A41-829B-29218174860C}" xr6:coauthVersionLast="47" xr6:coauthVersionMax="47" xr10:uidLastSave="{00000000-0000-0000-0000-000000000000}"/>
  <bookViews>
    <workbookView xWindow="0" yWindow="740" windowWidth="30240" windowHeight="18900" activeTab="1" xr2:uid="{00000000-000D-0000-FFFF-FFFF00000000}"/>
  </bookViews>
  <sheets>
    <sheet name="Sheet1" sheetId="1" r:id="rId1"/>
    <sheet name="설문지 응답 시트" sheetId="2" r:id="rId2"/>
    <sheet name="설문지 응답 시트1 (_backup)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70" i="3" l="1"/>
  <c r="O69" i="3"/>
  <c r="O68" i="3"/>
  <c r="O67" i="3"/>
  <c r="M70" i="3"/>
  <c r="M68" i="3"/>
  <c r="L67" i="3"/>
  <c r="N63" i="3"/>
  <c r="G58" i="3"/>
  <c r="G57" i="3"/>
  <c r="G56" i="3"/>
  <c r="G50" i="3"/>
  <c r="G51" i="3"/>
  <c r="G52" i="3"/>
  <c r="G53" i="3"/>
  <c r="G54" i="3"/>
  <c r="G55" i="3"/>
  <c r="G49" i="3"/>
  <c r="G47" i="3"/>
  <c r="G48" i="3"/>
  <c r="G46" i="3"/>
  <c r="G44" i="3"/>
  <c r="G45" i="3"/>
  <c r="G43" i="3"/>
  <c r="G42" i="3"/>
  <c r="G40" i="3"/>
  <c r="G41" i="3"/>
  <c r="G32" i="3"/>
  <c r="G33" i="3"/>
  <c r="G34" i="3"/>
  <c r="G35" i="3"/>
  <c r="G36" i="3"/>
  <c r="G37" i="3"/>
  <c r="G38" i="3"/>
  <c r="G39" i="3"/>
  <c r="G22" i="3"/>
  <c r="G23" i="3"/>
  <c r="G24" i="3"/>
  <c r="G25" i="3"/>
  <c r="G26" i="3"/>
  <c r="G27" i="3"/>
  <c r="G28" i="3"/>
  <c r="G29" i="3"/>
  <c r="G30" i="3"/>
  <c r="G31" i="3"/>
  <c r="G16" i="3"/>
  <c r="G17" i="3"/>
  <c r="G18" i="3"/>
  <c r="G19" i="3"/>
  <c r="G20" i="3"/>
  <c r="G21" i="3"/>
  <c r="G15" i="3"/>
  <c r="G3" i="3"/>
  <c r="G4" i="3"/>
  <c r="G5" i="3"/>
  <c r="G6" i="3"/>
  <c r="G7" i="3"/>
  <c r="G8" i="3"/>
  <c r="G9" i="3"/>
  <c r="G10" i="3"/>
  <c r="G11" i="3"/>
  <c r="G12" i="3"/>
  <c r="G13" i="3"/>
  <c r="G14" i="3"/>
  <c r="G2" i="3"/>
  <c r="N62" i="3"/>
  <c r="N61" i="3"/>
  <c r="N60" i="3"/>
  <c r="C10" i="1"/>
  <c r="C8" i="1"/>
  <c r="L61" i="3" l="1"/>
  <c r="L63" i="3"/>
</calcChain>
</file>

<file path=xl/sharedStrings.xml><?xml version="1.0" encoding="utf-8"?>
<sst xmlns="http://schemas.openxmlformats.org/spreadsheetml/2006/main" count="426" uniqueCount="110">
  <si>
    <t>타임스탬프</t>
  </si>
  <si>
    <t>1. 참가자 번호</t>
  </si>
  <si>
    <t>2. (2, 3 단계)에서 들으신 발음을 한 주체는 누구입니까?</t>
  </si>
  <si>
    <t>3. (2, 3단계)에서 들으신 발음을 듣고 어떠한 인상이 느껴지셨습니까?</t>
  </si>
  <si>
    <t>4. (2, 3단계)에서 들으신 발음을 듣고 어떠한 인상이 느껴지셨습니까?</t>
  </si>
  <si>
    <t>list</t>
  </si>
  <si>
    <t>착각 or 미집중</t>
  </si>
  <si>
    <t>Column2</t>
  </si>
  <si>
    <t>Column1</t>
  </si>
  <si>
    <t>성별</t>
  </si>
  <si>
    <t>data viewing</t>
  </si>
  <si>
    <t>LY003</t>
  </si>
  <si>
    <t>AI</t>
  </si>
  <si>
    <t>남</t>
  </si>
  <si>
    <t>LY016</t>
  </si>
  <si>
    <t>사람</t>
  </si>
  <si>
    <t>LY012</t>
  </si>
  <si>
    <t>3-&gt; AI같냐</t>
  </si>
  <si>
    <t>여</t>
  </si>
  <si>
    <t>LY001</t>
  </si>
  <si>
    <t>4-&gt; 사람 같냐</t>
  </si>
  <si>
    <t>LY014</t>
  </si>
  <si>
    <t>LY018</t>
  </si>
  <si>
    <t>LY019</t>
  </si>
  <si>
    <t>여기서부터 분석</t>
  </si>
  <si>
    <t>예상과 부합, ai라는 걸 안 시점에서 특히 f2 q발산</t>
  </si>
  <si>
    <t>LY011</t>
  </si>
  <si>
    <t>사람라는 걸 안 시점에서 특히 f2 발산, ai같다고 느꼈나?</t>
  </si>
  <si>
    <t>LY007</t>
  </si>
  <si>
    <t>수렴x, 실험 당시 대충한 참가자</t>
  </si>
  <si>
    <t>LY022</t>
  </si>
  <si>
    <t>거의 수렴 x</t>
  </si>
  <si>
    <t>LY002</t>
  </si>
  <si>
    <t>크게 수렴하지도, 발산하지도 않음</t>
  </si>
  <si>
    <t>LY017</t>
  </si>
  <si>
    <t xml:space="preserve">2,3 단계에서 큰 변화?? </t>
  </si>
  <si>
    <t>LY013</t>
  </si>
  <si>
    <t>3,4 단계에서 변화, ai라고 알게되도 계속 수렴</t>
  </si>
  <si>
    <t>LY006</t>
  </si>
  <si>
    <t>일관적이지 x</t>
  </si>
  <si>
    <t>LY004</t>
  </si>
  <si>
    <t>일반적인 사람 케이스</t>
  </si>
  <si>
    <t>LY025</t>
  </si>
  <si>
    <t>예상과 부합, ai라는 걸 안 시점에서 발산</t>
  </si>
  <si>
    <t>LY028</t>
  </si>
  <si>
    <t>수렴x, 사람이라고 인지했음에도,,</t>
  </si>
  <si>
    <t>LY009</t>
  </si>
  <si>
    <t>전형적인 사람 케이스</t>
  </si>
  <si>
    <t>LY023</t>
  </si>
  <si>
    <t>애매</t>
  </si>
  <si>
    <t>LY024</t>
  </si>
  <si>
    <t>3,4 단계 변화, 수렴x</t>
  </si>
  <si>
    <t>LY026</t>
  </si>
  <si>
    <t>수렴x</t>
  </si>
  <si>
    <t>LY029</t>
  </si>
  <si>
    <t>일반적, 수렴을 잘하진 않음</t>
  </si>
  <si>
    <t>LY027</t>
  </si>
  <si>
    <t>LY015</t>
  </si>
  <si>
    <t>stage6 data 확인 필요</t>
  </si>
  <si>
    <t>LY010</t>
  </si>
  <si>
    <t>수렴 잘 안하되, 일반적</t>
  </si>
  <si>
    <t>LY021</t>
  </si>
  <si>
    <t>LY005</t>
  </si>
  <si>
    <t>LY031</t>
  </si>
  <si>
    <t>수렴이 보이나, 조금 애매</t>
  </si>
  <si>
    <t>LY035</t>
  </si>
  <si>
    <t>LY033</t>
  </si>
  <si>
    <t>애매, 수렴 잘 안하는 듯</t>
  </si>
  <si>
    <t>LY032</t>
  </si>
  <si>
    <t>사람이라고 아는 경향,, 예측과는 반대, 그러나 설문점수보면 그럴 듯</t>
  </si>
  <si>
    <t>LY036</t>
  </si>
  <si>
    <t>LY037</t>
  </si>
  <si>
    <t>사람 결과, 매우 사람이라고 느낀 사람</t>
  </si>
  <si>
    <t>LY034</t>
  </si>
  <si>
    <t>LY038</t>
  </si>
  <si>
    <t>사람이라고 안 시점에서 수렴</t>
  </si>
  <si>
    <t>LY039</t>
  </si>
  <si>
    <t>LY040</t>
  </si>
  <si>
    <t>LY020</t>
  </si>
  <si>
    <t>LY041</t>
  </si>
  <si>
    <t>LY030</t>
  </si>
  <si>
    <t>LY042</t>
  </si>
  <si>
    <t>LY008</t>
  </si>
  <si>
    <t>LY044</t>
  </si>
  <si>
    <t>LY045</t>
  </si>
  <si>
    <t>LY047</t>
  </si>
  <si>
    <t>LY046</t>
  </si>
  <si>
    <t>LY048</t>
  </si>
  <si>
    <t>43번 설문 안함,,</t>
  </si>
  <si>
    <t>LY053</t>
  </si>
  <si>
    <t>어째 낮은 영역대가 변화 양상이 잘 보이는 것 같기도??</t>
  </si>
  <si>
    <t>LY050</t>
  </si>
  <si>
    <t>LY056</t>
  </si>
  <si>
    <t>LY054</t>
  </si>
  <si>
    <t>LY051</t>
  </si>
  <si>
    <t>LY055</t>
  </si>
  <si>
    <t>LY057</t>
  </si>
  <si>
    <t>LY058</t>
  </si>
  <si>
    <t>실제 분석 대상들</t>
  </si>
  <si>
    <t>List1</t>
  </si>
  <si>
    <t>List2</t>
  </si>
  <si>
    <t>분석대상 여부</t>
  </si>
  <si>
    <t>LY060</t>
  </si>
  <si>
    <t>음성 파일</t>
  </si>
  <si>
    <t>녀</t>
  </si>
  <si>
    <t>설문 파일</t>
  </si>
  <si>
    <t>2명 정도가 설문을 안했네,,</t>
  </si>
  <si>
    <t>LY059</t>
  </si>
  <si>
    <t>2025. 7. 22 오후 6:04:14</t>
  </si>
  <si>
    <t>집중을 안. 했다?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</si>
</sst>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\ h:mm:ss"/>
  </numFmts>
  <fonts count="4" x14ac:knownFonts="1"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1"/>
      <color theme="1"/>
      <name val="Calibri"/>
      <family val="2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8F9FA"/>
      </patternFill>
    </fill>
    <fill>
      <patternFill patternType="solid">
        <fgColor rgb="FFFFFFFF"/>
      </patternFill>
    </fill>
  </fills>
  <borders count="18">
    <border>
      <left/>
      <right/>
      <top/>
      <bottom/>
      <diagonal/>
    </border>
    <border>
      <left style="thin">
        <color rgb="FF442F65"/>
      </left>
      <right style="thin">
        <color rgb="FF5B3F86"/>
      </right>
      <top style="thin">
        <color rgb="FF442F65"/>
      </top>
      <bottom style="thin">
        <color rgb="FF442F65"/>
      </bottom>
      <diagonal/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  <diagonal/>
    </border>
    <border>
      <left style="thin">
        <color rgb="FF5B3F86"/>
      </left>
      <right style="thin">
        <color rgb="FF442F65"/>
      </right>
      <top style="thin">
        <color rgb="FF442F65"/>
      </top>
      <bottom style="thin">
        <color rgb="FF442F65"/>
      </bottom>
      <diagonal/>
    </border>
    <border>
      <left/>
      <right/>
      <top/>
      <bottom/>
      <diagonal/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  <diagonal/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F8F9FA"/>
      </bottom>
      <diagonal/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442F65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442F65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442F65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442F65"/>
      </bottom>
      <diagonal/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C6C6C6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C6C6C6"/>
      </bottom>
      <diagonal/>
    </border>
  </borders>
  <cellStyleXfs count="1">
    <xf numFmtId="0" fontId="0" fillId="0" borderId="0"/>
  </cellStyleXfs>
  <cellXfs count="62">
    <xf numFmtId="0" fontId="0" fillId="0" borderId="0" xfId="0"/>
    <xf numFmtId="164" fontId="1" fillId="0" borderId="1" xfId="0" applyNumberFormat="1" applyFont="1" applyBorder="1" applyAlignment="1">
      <alignment horizontal="left"/>
    </xf>
    <xf numFmtId="3" fontId="1" fillId="0" borderId="2" xfId="0" applyNumberFormat="1" applyFont="1" applyBorder="1" applyAlignment="1">
      <alignment horizontal="left"/>
    </xf>
    <xf numFmtId="0" fontId="1" fillId="0" borderId="2" xfId="0" applyFont="1" applyBorder="1" applyAlignment="1">
      <alignment horizontal="left"/>
    </xf>
    <xf numFmtId="3" fontId="1" fillId="0" borderId="3" xfId="0" applyNumberFormat="1" applyFont="1" applyBorder="1" applyAlignment="1">
      <alignment horizontal="left"/>
    </xf>
    <xf numFmtId="0" fontId="1" fillId="0" borderId="4" xfId="0" applyFont="1" applyBorder="1" applyAlignment="1">
      <alignment horizontal="left"/>
    </xf>
    <xf numFmtId="3" fontId="0" fillId="0" borderId="0" xfId="0" applyNumberFormat="1" applyAlignment="1">
      <alignment horizontal="right"/>
    </xf>
    <xf numFmtId="164" fontId="1" fillId="0" borderId="5" xfId="0" applyNumberFormat="1" applyFont="1" applyBorder="1" applyAlignment="1">
      <alignment horizontal="left"/>
    </xf>
    <xf numFmtId="3" fontId="1" fillId="0" borderId="6" xfId="0" applyNumberFormat="1" applyFont="1" applyBorder="1" applyAlignment="1">
      <alignment horizontal="left"/>
    </xf>
    <xf numFmtId="0" fontId="1" fillId="0" borderId="6" xfId="0" applyFont="1" applyBorder="1" applyAlignment="1">
      <alignment horizontal="left"/>
    </xf>
    <xf numFmtId="1" fontId="1" fillId="0" borderId="6" xfId="0" applyNumberFormat="1" applyFont="1" applyBorder="1" applyAlignment="1">
      <alignment horizontal="right"/>
    </xf>
    <xf numFmtId="3" fontId="1" fillId="0" borderId="7" xfId="0" applyNumberFormat="1" applyFont="1" applyBorder="1" applyAlignment="1">
      <alignment horizontal="right"/>
    </xf>
    <xf numFmtId="164" fontId="1" fillId="0" borderId="8" xfId="0" applyNumberFormat="1" applyFont="1" applyBorder="1" applyAlignment="1">
      <alignment horizontal="left"/>
    </xf>
    <xf numFmtId="3" fontId="1" fillId="0" borderId="9" xfId="0" applyNumberFormat="1" applyFont="1" applyBorder="1" applyAlignment="1">
      <alignment horizontal="left"/>
    </xf>
    <xf numFmtId="0" fontId="1" fillId="0" borderId="9" xfId="0" applyFont="1" applyBorder="1" applyAlignment="1">
      <alignment horizontal="left"/>
    </xf>
    <xf numFmtId="1" fontId="1" fillId="0" borderId="9" xfId="0" applyNumberFormat="1" applyFont="1" applyBorder="1" applyAlignment="1">
      <alignment horizontal="right"/>
    </xf>
    <xf numFmtId="3" fontId="1" fillId="0" borderId="9" xfId="0" applyNumberFormat="1" applyFont="1" applyBorder="1" applyAlignment="1">
      <alignment horizontal="right"/>
    </xf>
    <xf numFmtId="3" fontId="1" fillId="0" borderId="10" xfId="0" applyNumberFormat="1" applyFont="1" applyBorder="1" applyAlignment="1">
      <alignment horizontal="right"/>
    </xf>
    <xf numFmtId="1" fontId="1" fillId="0" borderId="6" xfId="0" applyNumberFormat="1" applyFont="1" applyBorder="1" applyAlignment="1">
      <alignment horizontal="left"/>
    </xf>
    <xf numFmtId="3" fontId="1" fillId="0" borderId="6" xfId="0" applyNumberFormat="1" applyFont="1" applyBorder="1" applyAlignment="1">
      <alignment horizontal="right"/>
    </xf>
    <xf numFmtId="3" fontId="0" fillId="0" borderId="0" xfId="0" applyNumberFormat="1"/>
    <xf numFmtId="3" fontId="2" fillId="0" borderId="4" xfId="0" applyNumberFormat="1" applyFont="1" applyBorder="1" applyAlignment="1">
      <alignment horizontal="right"/>
    </xf>
    <xf numFmtId="164" fontId="1" fillId="0" borderId="11" xfId="0" applyNumberFormat="1" applyFont="1" applyBorder="1" applyAlignment="1">
      <alignment horizontal="left"/>
    </xf>
    <xf numFmtId="3" fontId="1" fillId="0" borderId="12" xfId="0" applyNumberFormat="1" applyFont="1" applyBorder="1" applyAlignment="1">
      <alignment horizontal="left"/>
    </xf>
    <xf numFmtId="0" fontId="1" fillId="0" borderId="12" xfId="0" applyFont="1" applyBorder="1" applyAlignment="1">
      <alignment horizontal="left"/>
    </xf>
    <xf numFmtId="1" fontId="1" fillId="0" borderId="12" xfId="0" applyNumberFormat="1" applyFont="1" applyBorder="1" applyAlignment="1">
      <alignment horizontal="right"/>
    </xf>
    <xf numFmtId="3" fontId="1" fillId="0" borderId="12" xfId="0" applyNumberFormat="1" applyFont="1" applyBorder="1" applyAlignment="1">
      <alignment horizontal="right"/>
    </xf>
    <xf numFmtId="164" fontId="1" fillId="2" borderId="8" xfId="0" applyNumberFormat="1" applyFont="1" applyFill="1" applyBorder="1" applyAlignment="1">
      <alignment horizontal="left"/>
    </xf>
    <xf numFmtId="3" fontId="1" fillId="2" borderId="9" xfId="0" applyNumberFormat="1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3" fontId="1" fillId="2" borderId="9" xfId="0" applyNumberFormat="1" applyFont="1" applyFill="1" applyBorder="1" applyAlignment="1">
      <alignment horizontal="right"/>
    </xf>
    <xf numFmtId="3" fontId="2" fillId="2" borderId="13" xfId="0" applyNumberFormat="1" applyFont="1" applyFill="1" applyBorder="1" applyAlignment="1">
      <alignment horizontal="right"/>
    </xf>
    <xf numFmtId="0" fontId="2" fillId="2" borderId="13" xfId="0" applyFont="1" applyFill="1" applyBorder="1" applyAlignment="1">
      <alignment horizontal="left"/>
    </xf>
    <xf numFmtId="164" fontId="1" fillId="3" borderId="5" xfId="0" applyNumberFormat="1" applyFont="1" applyFill="1" applyBorder="1" applyAlignment="1">
      <alignment horizontal="left"/>
    </xf>
    <xf numFmtId="3" fontId="1" fillId="3" borderId="6" xfId="0" applyNumberFormat="1" applyFont="1" applyFill="1" applyBorder="1" applyAlignment="1">
      <alignment horizontal="left"/>
    </xf>
    <xf numFmtId="0" fontId="1" fillId="3" borderId="6" xfId="0" applyFont="1" applyFill="1" applyBorder="1" applyAlignment="1">
      <alignment horizontal="left"/>
    </xf>
    <xf numFmtId="3" fontId="1" fillId="3" borderId="6" xfId="0" applyNumberFormat="1" applyFont="1" applyFill="1" applyBorder="1" applyAlignment="1">
      <alignment horizontal="right"/>
    </xf>
    <xf numFmtId="3" fontId="2" fillId="3" borderId="13" xfId="0" applyNumberFormat="1" applyFont="1" applyFill="1" applyBorder="1" applyAlignment="1">
      <alignment horizontal="right"/>
    </xf>
    <xf numFmtId="0" fontId="2" fillId="3" borderId="13" xfId="0" applyFont="1" applyFill="1" applyBorder="1" applyAlignment="1">
      <alignment horizontal="left"/>
    </xf>
    <xf numFmtId="164" fontId="1" fillId="2" borderId="14" xfId="0" applyNumberFormat="1" applyFont="1" applyFill="1" applyBorder="1" applyAlignment="1">
      <alignment horizontal="left"/>
    </xf>
    <xf numFmtId="3" fontId="1" fillId="2" borderId="15" xfId="0" applyNumberFormat="1" applyFont="1" applyFill="1" applyBorder="1" applyAlignment="1">
      <alignment horizontal="left"/>
    </xf>
    <xf numFmtId="0" fontId="1" fillId="2" borderId="15" xfId="0" applyFont="1" applyFill="1" applyBorder="1" applyAlignment="1">
      <alignment horizontal="left"/>
    </xf>
    <xf numFmtId="3" fontId="1" fillId="2" borderId="15" xfId="0" applyNumberFormat="1" applyFont="1" applyFill="1" applyBorder="1" applyAlignment="1">
      <alignment horizontal="right"/>
    </xf>
    <xf numFmtId="164" fontId="1" fillId="3" borderId="11" xfId="0" applyNumberFormat="1" applyFont="1" applyFill="1" applyBorder="1" applyAlignment="1">
      <alignment horizontal="left"/>
    </xf>
    <xf numFmtId="3" fontId="1" fillId="3" borderId="12" xfId="0" applyNumberFormat="1" applyFont="1" applyFill="1" applyBorder="1" applyAlignment="1">
      <alignment horizontal="right"/>
    </xf>
    <xf numFmtId="0" fontId="1" fillId="3" borderId="12" xfId="0" applyFont="1" applyFill="1" applyBorder="1" applyAlignment="1">
      <alignment horizontal="left"/>
    </xf>
    <xf numFmtId="164" fontId="0" fillId="0" borderId="0" xfId="0" applyNumberFormat="1"/>
    <xf numFmtId="3" fontId="1" fillId="0" borderId="4" xfId="0" applyNumberFormat="1" applyFont="1" applyBorder="1" applyAlignment="1">
      <alignment horizontal="left"/>
    </xf>
    <xf numFmtId="1" fontId="1" fillId="0" borderId="2" xfId="0" applyNumberFormat="1" applyFont="1" applyBorder="1" applyAlignment="1">
      <alignment horizontal="left"/>
    </xf>
    <xf numFmtId="1" fontId="1" fillId="2" borderId="9" xfId="0" applyNumberFormat="1" applyFont="1" applyFill="1" applyBorder="1" applyAlignment="1">
      <alignment horizontal="right"/>
    </xf>
    <xf numFmtId="1" fontId="1" fillId="3" borderId="6" xfId="0" applyNumberFormat="1" applyFont="1" applyFill="1" applyBorder="1" applyAlignment="1">
      <alignment horizontal="right"/>
    </xf>
    <xf numFmtId="1" fontId="1" fillId="2" borderId="15" xfId="0" applyNumberFormat="1" applyFont="1" applyFill="1" applyBorder="1" applyAlignment="1">
      <alignment horizontal="right"/>
    </xf>
    <xf numFmtId="164" fontId="1" fillId="3" borderId="16" xfId="0" applyNumberFormat="1" applyFont="1" applyFill="1" applyBorder="1" applyAlignment="1">
      <alignment horizontal="left"/>
    </xf>
    <xf numFmtId="0" fontId="1" fillId="3" borderId="17" xfId="0" applyFont="1" applyFill="1" applyBorder="1" applyAlignment="1">
      <alignment horizontal="left"/>
    </xf>
    <xf numFmtId="1" fontId="1" fillId="3" borderId="17" xfId="0" applyNumberFormat="1" applyFont="1" applyFill="1" applyBorder="1" applyAlignment="1">
      <alignment horizontal="right"/>
    </xf>
    <xf numFmtId="3" fontId="1" fillId="3" borderId="17" xfId="0" applyNumberFormat="1" applyFont="1" applyFill="1" applyBorder="1" applyAlignment="1">
      <alignment horizontal="right"/>
    </xf>
    <xf numFmtId="1" fontId="0" fillId="0" borderId="0" xfId="0" applyNumberFormat="1"/>
    <xf numFmtId="164" fontId="3" fillId="0" borderId="4" xfId="0" applyNumberFormat="1" applyFont="1" applyBorder="1"/>
    <xf numFmtId="0" fontId="3" fillId="0" borderId="4" xfId="0" applyFont="1" applyBorder="1"/>
    <xf numFmtId="1" fontId="3" fillId="0" borderId="4" xfId="0" applyNumberFormat="1" applyFont="1" applyBorder="1"/>
    <xf numFmtId="3" fontId="3" fillId="0" borderId="4" xfId="0" applyNumberFormat="1" applyFont="1" applyBorder="1"/>
    <xf numFmtId="0" fontId="1" fillId="0" borderId="4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Form_Responses134" displayName="Form_Responses134" ref="A1:H57" totalsRowShown="0">
  <autoFilter ref="A1:H57" xr:uid="{00000000-0009-0000-0100-000002000000}"/>
  <tableColumns count="8">
    <tableColumn id="1" xr3:uid="{00000000-0010-0000-0000-000001000000}" name="타임스탬프"/>
    <tableColumn id="2" xr3:uid="{00000000-0010-0000-0000-000002000000}" name="1. 참가자 번호"/>
    <tableColumn id="3" xr3:uid="{00000000-0010-0000-0000-000003000000}" name="2. (2, 3 단계)에서 들으신 발음을 한 주체는 누구입니까?"/>
    <tableColumn id="4" xr3:uid="{00000000-0010-0000-0000-000004000000}" name="3. (2, 3단계)에서 들으신 발음을 듣고 어떠한 인상이 느껴지셨습니까?"/>
    <tableColumn id="5" xr3:uid="{00000000-0010-0000-0000-000005000000}" name="4. (2, 3단계)에서 들으신 발음을 듣고 어떠한 인상이 느껴지셨습니까?"/>
    <tableColumn id="6" xr3:uid="{00000000-0010-0000-0000-000006000000}" name="list"/>
    <tableColumn id="7" xr3:uid="{00000000-0010-0000-0000-000007000000}" name="성별"/>
    <tableColumn id="8" xr3:uid="{00000000-0010-0000-0000-000008000000}" name="분석대상 여부"/>
  </tableColumns>
  <tableStyleInfo name="TableStyleLight1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Form_Responses13" displayName="Form_Responses13" ref="A1:K45" totalsRowShown="0">
  <autoFilter ref="A1:K45" xr:uid="{00000000-0009-0000-0100-000001000000}"/>
  <tableColumns count="11">
    <tableColumn id="1" xr3:uid="{00000000-0010-0000-0100-000001000000}" name="타임스탬프"/>
    <tableColumn id="2" xr3:uid="{00000000-0010-0000-0100-000002000000}" name="1. 참가자 번호"/>
    <tableColumn id="3" xr3:uid="{00000000-0010-0000-0100-000003000000}" name="2. (2, 3 단계)에서 들으신 발음을 한 주체는 누구입니까?"/>
    <tableColumn id="4" xr3:uid="{00000000-0010-0000-0100-000004000000}" name="3. (2, 3단계)에서 들으신 발음을 듣고 어떠한 인상이 느껴지셨습니까?"/>
    <tableColumn id="5" xr3:uid="{00000000-0010-0000-0100-000005000000}" name="4. (2, 3단계)에서 들으신 발음을 듣고 어떠한 인상이 느껴지셨습니까?"/>
    <tableColumn id="6" xr3:uid="{00000000-0010-0000-0100-000006000000}" name="list"/>
    <tableColumn id="7" xr3:uid="{00000000-0010-0000-0100-000007000000}" name="착각 or 미집중"/>
    <tableColumn id="8" xr3:uid="{00000000-0010-0000-0100-000008000000}" name="Column2"/>
    <tableColumn id="9" xr3:uid="{00000000-0010-0000-0100-000009000000}" name="Column1"/>
    <tableColumn id="10" xr3:uid="{00000000-0010-0000-0100-00000A000000}" name="성별"/>
    <tableColumn id="11" xr3:uid="{00000000-0010-0000-0100-00000B000000}" name="data viewing"/>
  </tableColumns>
  <tableStyleInfo name="TableStyleLight1" showFirstColumn="1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B1:I17"/>
  <sheetViews>
    <sheetView workbookViewId="0">
      <selection activeCell="F7" sqref="F7"/>
    </sheetView>
  </sheetViews>
  <sheetFormatPr baseColWidth="10" defaultColWidth="8.83203125" defaultRowHeight="15" x14ac:dyDescent="0.2"/>
  <cols>
    <col min="1" max="1" width="12.5" bestFit="1" customWidth="1"/>
    <col min="2" max="3" width="12.5" style="20" bestFit="1" customWidth="1"/>
    <col min="4" max="4" width="12.5" bestFit="1" customWidth="1"/>
    <col min="5" max="5" width="12.5" style="20" bestFit="1" customWidth="1"/>
    <col min="6" max="9" width="12.5" bestFit="1" customWidth="1"/>
  </cols>
  <sheetData>
    <row r="1" spans="2:9" ht="17.25" customHeight="1" x14ac:dyDescent="0.2"/>
    <row r="2" spans="2:9" ht="17.25" customHeight="1" x14ac:dyDescent="0.2">
      <c r="B2" s="47" t="s">
        <v>103</v>
      </c>
      <c r="C2" s="47" t="s">
        <v>99</v>
      </c>
      <c r="D2" s="5" t="s">
        <v>13</v>
      </c>
    </row>
    <row r="3" spans="2:9" ht="17.25" customHeight="1" x14ac:dyDescent="0.2">
      <c r="B3" s="21">
        <v>52</v>
      </c>
      <c r="D3" s="5" t="s">
        <v>104</v>
      </c>
    </row>
    <row r="4" spans="2:9" ht="17.25" customHeight="1" x14ac:dyDescent="0.2">
      <c r="C4" s="47" t="s">
        <v>100</v>
      </c>
      <c r="D4" s="5" t="s">
        <v>13</v>
      </c>
    </row>
    <row r="5" spans="2:9" ht="17.25" customHeight="1" x14ac:dyDescent="0.2">
      <c r="D5" s="5" t="s">
        <v>104</v>
      </c>
    </row>
    <row r="6" spans="2:9" ht="17.25" customHeight="1" x14ac:dyDescent="0.2"/>
    <row r="7" spans="2:9" ht="17.25" customHeight="1" x14ac:dyDescent="0.2">
      <c r="B7" s="47" t="s">
        <v>105</v>
      </c>
      <c r="C7" s="47" t="s">
        <v>99</v>
      </c>
      <c r="D7" s="5" t="s">
        <v>13</v>
      </c>
      <c r="E7" s="21">
        <v>12</v>
      </c>
    </row>
    <row r="8" spans="2:9" ht="17.25" customHeight="1" x14ac:dyDescent="0.2">
      <c r="B8" s="21">
        <v>50</v>
      </c>
      <c r="C8" s="21">
        <f>E7+E8</f>
        <v>25</v>
      </c>
      <c r="D8" s="5" t="s">
        <v>104</v>
      </c>
      <c r="E8" s="21">
        <v>13</v>
      </c>
    </row>
    <row r="9" spans="2:9" ht="17.25" customHeight="1" x14ac:dyDescent="0.2">
      <c r="C9" s="47" t="s">
        <v>100</v>
      </c>
      <c r="D9" s="5" t="s">
        <v>13</v>
      </c>
      <c r="E9" s="21">
        <v>12</v>
      </c>
    </row>
    <row r="10" spans="2:9" ht="17.25" customHeight="1" x14ac:dyDescent="0.2">
      <c r="C10" s="21">
        <f>E9+E10</f>
        <v>25</v>
      </c>
      <c r="D10" s="5" t="s">
        <v>104</v>
      </c>
      <c r="E10" s="21">
        <v>13</v>
      </c>
      <c r="I10" s="5"/>
    </row>
    <row r="11" spans="2:9" ht="17.25" customHeight="1" x14ac:dyDescent="0.2"/>
    <row r="12" spans="2:9" ht="17.25" customHeight="1" x14ac:dyDescent="0.2"/>
    <row r="13" spans="2:9" ht="17.25" customHeight="1" x14ac:dyDescent="0.2"/>
    <row r="14" spans="2:9" ht="17.25" customHeight="1" x14ac:dyDescent="0.2">
      <c r="B14" s="47"/>
      <c r="C14" s="47"/>
    </row>
    <row r="15" spans="2:9" ht="17.25" customHeight="1" x14ac:dyDescent="0.2">
      <c r="C15" s="47"/>
      <c r="I15" s="5" t="s">
        <v>106</v>
      </c>
    </row>
    <row r="16" spans="2:9" ht="17.25" customHeight="1" x14ac:dyDescent="0.2">
      <c r="B16" s="47"/>
      <c r="C16" s="47"/>
    </row>
    <row r="17" spans="3:3" ht="17.25" customHeight="1" x14ac:dyDescent="0.2">
      <c r="C17" s="4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I62"/>
  <sheetViews>
    <sheetView tabSelected="1" zoomScale="139" workbookViewId="0">
      <pane ySplit="1" topLeftCell="A52" activePane="bottomLeft" state="frozen"/>
      <selection pane="bottomLeft" activeCell="J56" sqref="J56"/>
    </sheetView>
  </sheetViews>
  <sheetFormatPr baseColWidth="10" defaultColWidth="8.83203125" defaultRowHeight="15" x14ac:dyDescent="0.2"/>
  <cols>
    <col min="1" max="1" width="18.83203125" style="46" bestFit="1" customWidth="1"/>
    <col min="2" max="2" width="9" bestFit="1" customWidth="1"/>
    <col min="3" max="3" width="7.33203125" bestFit="1" customWidth="1"/>
    <col min="4" max="4" width="7.5" style="56" bestFit="1" customWidth="1"/>
    <col min="5" max="5" width="10.33203125" style="20" bestFit="1" customWidth="1"/>
    <col min="6" max="6" width="8.33203125" style="20" bestFit="1" customWidth="1"/>
    <col min="7" max="7" width="4.33203125" bestFit="1" customWidth="1"/>
    <col min="8" max="8" width="6.5" style="20" bestFit="1" customWidth="1"/>
    <col min="9" max="9" width="12.5" bestFit="1" customWidth="1"/>
  </cols>
  <sheetData>
    <row r="1" spans="1:8" ht="15.75" customHeight="1" x14ac:dyDescent="0.2">
      <c r="A1" s="1" t="s">
        <v>0</v>
      </c>
      <c r="B1" s="3" t="s">
        <v>1</v>
      </c>
      <c r="C1" s="3" t="s">
        <v>2</v>
      </c>
      <c r="D1" s="48" t="s">
        <v>3</v>
      </c>
      <c r="E1" s="2" t="s">
        <v>4</v>
      </c>
      <c r="F1" s="4" t="s">
        <v>5</v>
      </c>
      <c r="G1" s="5" t="s">
        <v>9</v>
      </c>
      <c r="H1" s="47" t="s">
        <v>101</v>
      </c>
    </row>
    <row r="2" spans="1:8" ht="18" customHeight="1" x14ac:dyDescent="0.2">
      <c r="A2" s="7">
        <v>45748.72420138889</v>
      </c>
      <c r="B2" s="9" t="s">
        <v>11</v>
      </c>
      <c r="C2" s="9" t="s">
        <v>12</v>
      </c>
      <c r="D2" s="10">
        <v>1</v>
      </c>
      <c r="E2" s="8"/>
      <c r="F2" s="11">
        <v>1</v>
      </c>
      <c r="G2" s="5" t="s">
        <v>13</v>
      </c>
      <c r="H2" s="21">
        <v>0</v>
      </c>
    </row>
    <row r="3" spans="1:8" ht="18" customHeight="1" x14ac:dyDescent="0.2">
      <c r="A3" s="12">
        <v>45749.598923611113</v>
      </c>
      <c r="B3" s="14" t="s">
        <v>14</v>
      </c>
      <c r="C3" s="14" t="s">
        <v>15</v>
      </c>
      <c r="D3" s="15">
        <v>2</v>
      </c>
      <c r="E3" s="16">
        <v>3</v>
      </c>
      <c r="F3" s="17">
        <v>2</v>
      </c>
      <c r="G3" s="5" t="s">
        <v>13</v>
      </c>
      <c r="H3" s="21">
        <v>0</v>
      </c>
    </row>
    <row r="4" spans="1:8" ht="18" customHeight="1" x14ac:dyDescent="0.2">
      <c r="A4" s="7">
        <v>45749.644641203704</v>
      </c>
      <c r="B4" s="9" t="s">
        <v>16</v>
      </c>
      <c r="C4" s="9" t="s">
        <v>12</v>
      </c>
      <c r="D4" s="10">
        <v>2</v>
      </c>
      <c r="E4" s="8"/>
      <c r="F4" s="11">
        <v>1</v>
      </c>
      <c r="G4" s="5" t="s">
        <v>18</v>
      </c>
      <c r="H4" s="21">
        <v>0</v>
      </c>
    </row>
    <row r="5" spans="1:8" ht="18" customHeight="1" x14ac:dyDescent="0.2">
      <c r="A5" s="12">
        <v>45749.801874999997</v>
      </c>
      <c r="B5" s="14" t="s">
        <v>19</v>
      </c>
      <c r="C5" s="14" t="s">
        <v>15</v>
      </c>
      <c r="D5" s="15">
        <v>2</v>
      </c>
      <c r="E5" s="16">
        <v>7</v>
      </c>
      <c r="F5" s="17">
        <v>2</v>
      </c>
      <c r="G5" s="5" t="s">
        <v>13</v>
      </c>
      <c r="H5" s="21">
        <v>0</v>
      </c>
    </row>
    <row r="6" spans="1:8" ht="18.75" customHeight="1" x14ac:dyDescent="0.2">
      <c r="A6" s="7">
        <v>45750.564097222225</v>
      </c>
      <c r="B6" s="9" t="s">
        <v>21</v>
      </c>
      <c r="C6" s="9" t="s">
        <v>15</v>
      </c>
      <c r="D6" s="18"/>
      <c r="E6" s="19">
        <v>7</v>
      </c>
      <c r="F6" s="11">
        <v>2</v>
      </c>
      <c r="G6" s="5" t="s">
        <v>13</v>
      </c>
      <c r="H6" s="21">
        <v>0</v>
      </c>
    </row>
    <row r="7" spans="1:8" ht="18" customHeight="1" x14ac:dyDescent="0.2">
      <c r="A7" s="12">
        <v>45750.580520833333</v>
      </c>
      <c r="B7" s="14" t="s">
        <v>22</v>
      </c>
      <c r="C7" s="14" t="s">
        <v>12</v>
      </c>
      <c r="D7" s="15">
        <v>3</v>
      </c>
      <c r="F7" s="17">
        <v>1</v>
      </c>
      <c r="G7" s="5" t="s">
        <v>13</v>
      </c>
      <c r="H7" s="21">
        <v>0</v>
      </c>
    </row>
    <row r="8" spans="1:8" ht="18" customHeight="1" x14ac:dyDescent="0.2">
      <c r="A8" s="7">
        <v>45750.629965277774</v>
      </c>
      <c r="B8" s="9" t="s">
        <v>23</v>
      </c>
      <c r="C8" s="9" t="s">
        <v>12</v>
      </c>
      <c r="D8" s="10">
        <v>6</v>
      </c>
      <c r="E8" s="19">
        <v>4</v>
      </c>
      <c r="F8" s="11">
        <v>1</v>
      </c>
      <c r="G8" s="5" t="s">
        <v>13</v>
      </c>
      <c r="H8" s="21">
        <v>1</v>
      </c>
    </row>
    <row r="9" spans="1:8" ht="18" customHeight="1" x14ac:dyDescent="0.2">
      <c r="A9" s="12">
        <v>45750.766932870371</v>
      </c>
      <c r="B9" s="14" t="s">
        <v>26</v>
      </c>
      <c r="C9" s="14" t="s">
        <v>15</v>
      </c>
      <c r="D9" s="15">
        <v>5</v>
      </c>
      <c r="E9" s="16">
        <v>5</v>
      </c>
      <c r="F9" s="17">
        <v>2</v>
      </c>
      <c r="G9" s="5" t="s">
        <v>18</v>
      </c>
      <c r="H9" s="21">
        <v>1</v>
      </c>
    </row>
    <row r="10" spans="1:8" ht="18" customHeight="1" x14ac:dyDescent="0.2">
      <c r="A10" s="7">
        <v>45750.832442129627</v>
      </c>
      <c r="B10" s="9" t="s">
        <v>28</v>
      </c>
      <c r="C10" s="9" t="s">
        <v>12</v>
      </c>
      <c r="D10" s="10">
        <v>3</v>
      </c>
      <c r="E10" s="19">
        <v>5</v>
      </c>
      <c r="F10" s="11">
        <v>1</v>
      </c>
      <c r="G10" s="5" t="s">
        <v>13</v>
      </c>
      <c r="H10" s="21">
        <v>1</v>
      </c>
    </row>
    <row r="11" spans="1:8" ht="18" customHeight="1" x14ac:dyDescent="0.2">
      <c r="A11" s="12">
        <v>45751.477673611109</v>
      </c>
      <c r="B11" s="14" t="s">
        <v>30</v>
      </c>
      <c r="C11" s="14" t="s">
        <v>15</v>
      </c>
      <c r="D11" s="15">
        <v>1</v>
      </c>
      <c r="E11" s="16">
        <v>6</v>
      </c>
      <c r="F11" s="17">
        <v>2</v>
      </c>
      <c r="G11" s="5" t="s">
        <v>18</v>
      </c>
      <c r="H11" s="21">
        <v>1</v>
      </c>
    </row>
    <row r="12" spans="1:8" ht="18" customHeight="1" x14ac:dyDescent="0.2">
      <c r="A12" s="7">
        <v>45751.5856712963</v>
      </c>
      <c r="B12" s="9" t="s">
        <v>32</v>
      </c>
      <c r="C12" s="9" t="s">
        <v>12</v>
      </c>
      <c r="D12" s="10">
        <v>2</v>
      </c>
      <c r="E12" s="19">
        <v>6</v>
      </c>
      <c r="F12" s="11">
        <v>1</v>
      </c>
      <c r="G12" s="5" t="s">
        <v>18</v>
      </c>
      <c r="H12" s="21">
        <v>1</v>
      </c>
    </row>
    <row r="13" spans="1:8" ht="18" customHeight="1" x14ac:dyDescent="0.2">
      <c r="A13" s="12">
        <v>45751.703287037039</v>
      </c>
      <c r="B13" s="14" t="s">
        <v>34</v>
      </c>
      <c r="C13" s="14" t="s">
        <v>15</v>
      </c>
      <c r="D13" s="15">
        <v>2</v>
      </c>
      <c r="E13" s="16">
        <v>6</v>
      </c>
      <c r="F13" s="17">
        <v>2</v>
      </c>
      <c r="G13" s="5" t="s">
        <v>13</v>
      </c>
      <c r="H13" s="21">
        <v>1</v>
      </c>
    </row>
    <row r="14" spans="1:8" ht="18" customHeight="1" x14ac:dyDescent="0.2">
      <c r="A14" s="7">
        <v>45751.749212962961</v>
      </c>
      <c r="B14" s="9" t="s">
        <v>36</v>
      </c>
      <c r="C14" s="9" t="s">
        <v>12</v>
      </c>
      <c r="D14" s="10">
        <v>6</v>
      </c>
      <c r="E14" s="19">
        <v>4</v>
      </c>
      <c r="F14" s="11">
        <v>1</v>
      </c>
      <c r="G14" s="5" t="s">
        <v>18</v>
      </c>
      <c r="H14" s="21">
        <v>1</v>
      </c>
    </row>
    <row r="15" spans="1:8" ht="18.75" customHeight="1" x14ac:dyDescent="0.2">
      <c r="A15" s="12">
        <v>45751.81449074074</v>
      </c>
      <c r="B15" s="14" t="s">
        <v>38</v>
      </c>
      <c r="C15" s="14" t="s">
        <v>12</v>
      </c>
      <c r="D15" s="15">
        <v>3</v>
      </c>
      <c r="E15" s="16">
        <v>6</v>
      </c>
      <c r="F15" s="17">
        <v>2</v>
      </c>
      <c r="G15" s="5" t="s">
        <v>13</v>
      </c>
      <c r="H15" s="21">
        <v>1</v>
      </c>
    </row>
    <row r="16" spans="1:8" ht="18" customHeight="1" x14ac:dyDescent="0.2">
      <c r="A16" s="7">
        <v>45754.658194444448</v>
      </c>
      <c r="B16" s="9" t="s">
        <v>40</v>
      </c>
      <c r="C16" s="9" t="s">
        <v>15</v>
      </c>
      <c r="D16" s="10">
        <v>3</v>
      </c>
      <c r="E16" s="19">
        <v>6</v>
      </c>
      <c r="F16" s="21">
        <v>2</v>
      </c>
      <c r="G16" s="5" t="s">
        <v>18</v>
      </c>
      <c r="H16" s="21">
        <v>1</v>
      </c>
    </row>
    <row r="17" spans="1:8" ht="18" customHeight="1" x14ac:dyDescent="0.2">
      <c r="A17" s="12">
        <v>45754.820497685185</v>
      </c>
      <c r="B17" s="14" t="s">
        <v>42</v>
      </c>
      <c r="C17" s="14" t="s">
        <v>12</v>
      </c>
      <c r="D17" s="15">
        <v>3</v>
      </c>
      <c r="E17" s="16">
        <v>5</v>
      </c>
      <c r="F17" s="21">
        <v>1</v>
      </c>
      <c r="G17" s="5" t="s">
        <v>18</v>
      </c>
      <c r="H17" s="21">
        <v>1</v>
      </c>
    </row>
    <row r="18" spans="1:8" ht="18" customHeight="1" x14ac:dyDescent="0.2">
      <c r="A18" s="7">
        <v>45755.414236111108</v>
      </c>
      <c r="B18" s="9" t="s">
        <v>44</v>
      </c>
      <c r="C18" s="9" t="s">
        <v>12</v>
      </c>
      <c r="D18" s="10">
        <v>1</v>
      </c>
      <c r="E18" s="19">
        <v>7</v>
      </c>
      <c r="F18" s="21">
        <v>1</v>
      </c>
      <c r="G18" s="5" t="s">
        <v>18</v>
      </c>
      <c r="H18" s="21">
        <v>1</v>
      </c>
    </row>
    <row r="19" spans="1:8" ht="18" customHeight="1" x14ac:dyDescent="0.2">
      <c r="A19" s="12">
        <v>45755.475983796299</v>
      </c>
      <c r="B19" s="14" t="s">
        <v>46</v>
      </c>
      <c r="C19" s="14" t="s">
        <v>15</v>
      </c>
      <c r="D19" s="15">
        <v>2</v>
      </c>
      <c r="E19" s="16">
        <v>6</v>
      </c>
      <c r="F19" s="21">
        <v>2</v>
      </c>
      <c r="G19" s="5" t="s">
        <v>18</v>
      </c>
      <c r="H19" s="21">
        <v>1</v>
      </c>
    </row>
    <row r="20" spans="1:8" ht="18" customHeight="1" x14ac:dyDescent="0.2">
      <c r="A20" s="7">
        <v>45755.583645833336</v>
      </c>
      <c r="B20" s="9" t="s">
        <v>48</v>
      </c>
      <c r="C20" s="9" t="s">
        <v>12</v>
      </c>
      <c r="D20" s="10">
        <v>2</v>
      </c>
      <c r="E20" s="19">
        <v>6</v>
      </c>
      <c r="F20" s="21">
        <v>1</v>
      </c>
      <c r="G20" s="5" t="s">
        <v>18</v>
      </c>
      <c r="H20" s="21">
        <v>1</v>
      </c>
    </row>
    <row r="21" spans="1:8" ht="18" customHeight="1" x14ac:dyDescent="0.2">
      <c r="A21" s="12">
        <v>45755.700752314813</v>
      </c>
      <c r="B21" s="14" t="s">
        <v>50</v>
      </c>
      <c r="C21" s="14" t="s">
        <v>15</v>
      </c>
      <c r="D21" s="15">
        <v>5</v>
      </c>
      <c r="E21" s="16">
        <v>3</v>
      </c>
      <c r="F21" s="21">
        <v>2</v>
      </c>
      <c r="G21" s="5" t="s">
        <v>13</v>
      </c>
      <c r="H21" s="21">
        <v>1</v>
      </c>
    </row>
    <row r="22" spans="1:8" ht="18" customHeight="1" x14ac:dyDescent="0.2">
      <c r="A22" s="7">
        <v>45756.704872685186</v>
      </c>
      <c r="B22" s="9" t="s">
        <v>52</v>
      </c>
      <c r="C22" s="9" t="s">
        <v>15</v>
      </c>
      <c r="D22" s="10">
        <v>2</v>
      </c>
      <c r="E22" s="19">
        <v>6</v>
      </c>
      <c r="F22" s="21">
        <v>2</v>
      </c>
      <c r="G22" s="5" t="s">
        <v>18</v>
      </c>
      <c r="H22" s="21">
        <v>1</v>
      </c>
    </row>
    <row r="23" spans="1:8" ht="18" customHeight="1" x14ac:dyDescent="0.2">
      <c r="A23" s="12">
        <v>45757.698645833334</v>
      </c>
      <c r="B23" s="14" t="s">
        <v>54</v>
      </c>
      <c r="C23" s="14" t="s">
        <v>15</v>
      </c>
      <c r="D23" s="15">
        <v>1</v>
      </c>
      <c r="E23" s="16">
        <v>6</v>
      </c>
      <c r="F23" s="21">
        <v>2</v>
      </c>
      <c r="G23" s="5" t="s">
        <v>13</v>
      </c>
      <c r="H23" s="21">
        <v>1</v>
      </c>
    </row>
    <row r="24" spans="1:8" ht="18" customHeight="1" x14ac:dyDescent="0.2">
      <c r="A24" s="7">
        <v>45757.762094907404</v>
      </c>
      <c r="B24" s="9" t="s">
        <v>56</v>
      </c>
      <c r="C24" s="9" t="s">
        <v>12</v>
      </c>
      <c r="D24" s="10">
        <v>2</v>
      </c>
      <c r="E24" s="19">
        <v>5</v>
      </c>
      <c r="F24" s="21">
        <v>1</v>
      </c>
      <c r="G24" s="5" t="s">
        <v>18</v>
      </c>
      <c r="H24" s="21">
        <v>1</v>
      </c>
    </row>
    <row r="25" spans="1:8" ht="18" customHeight="1" x14ac:dyDescent="0.2">
      <c r="A25" s="12">
        <v>45757.875578703701</v>
      </c>
      <c r="B25" s="14" t="s">
        <v>57</v>
      </c>
      <c r="C25" s="14" t="s">
        <v>12</v>
      </c>
      <c r="D25" s="15">
        <v>1</v>
      </c>
      <c r="E25" s="16">
        <v>1</v>
      </c>
      <c r="F25" s="21">
        <v>1</v>
      </c>
      <c r="G25" s="5" t="s">
        <v>13</v>
      </c>
      <c r="H25" s="21">
        <v>1</v>
      </c>
    </row>
    <row r="26" spans="1:8" ht="18" customHeight="1" x14ac:dyDescent="0.2">
      <c r="A26" s="7">
        <v>45758.459803240738</v>
      </c>
      <c r="B26" s="9" t="s">
        <v>59</v>
      </c>
      <c r="C26" s="9" t="s">
        <v>15</v>
      </c>
      <c r="D26" s="10">
        <v>1</v>
      </c>
      <c r="E26" s="19">
        <v>7</v>
      </c>
      <c r="F26" s="21">
        <v>2</v>
      </c>
      <c r="G26" s="5" t="s">
        <v>18</v>
      </c>
      <c r="H26" s="21">
        <v>1</v>
      </c>
    </row>
    <row r="27" spans="1:8" ht="18" customHeight="1" x14ac:dyDescent="0.2">
      <c r="A27" s="12">
        <v>45758.585335648146</v>
      </c>
      <c r="B27" s="14" t="s">
        <v>61</v>
      </c>
      <c r="C27" s="14" t="s">
        <v>12</v>
      </c>
      <c r="D27" s="15">
        <v>3</v>
      </c>
      <c r="E27" s="16">
        <v>5</v>
      </c>
      <c r="F27" s="21">
        <v>1</v>
      </c>
      <c r="G27" s="5" t="s">
        <v>13</v>
      </c>
      <c r="H27" s="21">
        <v>1</v>
      </c>
    </row>
    <row r="28" spans="1:8" ht="18" customHeight="1" x14ac:dyDescent="0.2">
      <c r="A28" s="7">
        <v>45758.626712962963</v>
      </c>
      <c r="B28" s="9" t="s">
        <v>62</v>
      </c>
      <c r="C28" s="9" t="s">
        <v>12</v>
      </c>
      <c r="D28" s="10">
        <v>6</v>
      </c>
      <c r="E28" s="19">
        <v>3</v>
      </c>
      <c r="F28" s="21">
        <v>2</v>
      </c>
      <c r="G28" s="5" t="s">
        <v>18</v>
      </c>
      <c r="H28" s="21">
        <v>1</v>
      </c>
    </row>
    <row r="29" spans="1:8" ht="18" customHeight="1" x14ac:dyDescent="0.2">
      <c r="A29" s="12">
        <v>45758.691423611112</v>
      </c>
      <c r="B29" s="14" t="s">
        <v>63</v>
      </c>
      <c r="C29" s="14" t="s">
        <v>12</v>
      </c>
      <c r="D29" s="15">
        <v>5</v>
      </c>
      <c r="E29" s="16">
        <v>3</v>
      </c>
      <c r="F29" s="21">
        <v>1</v>
      </c>
      <c r="G29" s="5" t="s">
        <v>13</v>
      </c>
      <c r="H29" s="21">
        <v>1</v>
      </c>
    </row>
    <row r="30" spans="1:8" ht="18" customHeight="1" x14ac:dyDescent="0.2">
      <c r="A30" s="7">
        <v>45758.771898148145</v>
      </c>
      <c r="B30" s="9" t="s">
        <v>65</v>
      </c>
      <c r="C30" s="9" t="s">
        <v>15</v>
      </c>
      <c r="D30" s="10">
        <v>2</v>
      </c>
      <c r="E30" s="19">
        <v>6</v>
      </c>
      <c r="F30" s="21">
        <v>2</v>
      </c>
      <c r="G30" s="5" t="s">
        <v>18</v>
      </c>
      <c r="H30" s="21">
        <v>1</v>
      </c>
    </row>
    <row r="31" spans="1:8" ht="18" customHeight="1" x14ac:dyDescent="0.2">
      <c r="A31" s="7">
        <v>45761.599143518521</v>
      </c>
      <c r="B31" s="9" t="s">
        <v>66</v>
      </c>
      <c r="C31" s="9" t="s">
        <v>12</v>
      </c>
      <c r="D31" s="10">
        <v>1</v>
      </c>
      <c r="E31" s="19">
        <v>7</v>
      </c>
      <c r="F31" s="21">
        <v>1</v>
      </c>
      <c r="G31" s="5" t="s">
        <v>18</v>
      </c>
      <c r="H31" s="21">
        <v>1</v>
      </c>
    </row>
    <row r="32" spans="1:8" ht="15.75" customHeight="1" x14ac:dyDescent="0.2">
      <c r="A32" s="12">
        <v>45761.815127314818</v>
      </c>
      <c r="B32" s="14" t="s">
        <v>68</v>
      </c>
      <c r="C32" s="14" t="s">
        <v>12</v>
      </c>
      <c r="D32" s="15">
        <v>3</v>
      </c>
      <c r="E32" s="16">
        <v>5</v>
      </c>
      <c r="F32" s="21">
        <v>1</v>
      </c>
      <c r="G32" s="5" t="s">
        <v>13</v>
      </c>
      <c r="H32" s="21">
        <v>1</v>
      </c>
    </row>
    <row r="33" spans="1:9" ht="15.75" customHeight="1" x14ac:dyDescent="0.2">
      <c r="A33" s="7">
        <v>45762.638321759259</v>
      </c>
      <c r="B33" s="9" t="s">
        <v>70</v>
      </c>
      <c r="C33" s="9" t="s">
        <v>15</v>
      </c>
      <c r="D33" s="10">
        <v>1</v>
      </c>
      <c r="E33" s="19">
        <v>7</v>
      </c>
      <c r="F33" s="21">
        <v>2</v>
      </c>
      <c r="G33" s="5" t="s">
        <v>18</v>
      </c>
      <c r="H33" s="21">
        <v>1</v>
      </c>
    </row>
    <row r="34" spans="1:9" ht="15.75" customHeight="1" x14ac:dyDescent="0.2">
      <c r="A34" s="12">
        <v>45762.816886574074</v>
      </c>
      <c r="B34" s="14" t="s">
        <v>71</v>
      </c>
      <c r="C34" s="14" t="s">
        <v>12</v>
      </c>
      <c r="D34" s="15">
        <v>2</v>
      </c>
      <c r="E34" s="16">
        <v>6</v>
      </c>
      <c r="F34" s="21">
        <v>1</v>
      </c>
      <c r="G34" s="5" t="s">
        <v>18</v>
      </c>
      <c r="H34" s="21">
        <v>1</v>
      </c>
    </row>
    <row r="35" spans="1:9" ht="15.75" customHeight="1" x14ac:dyDescent="0.2">
      <c r="A35" s="7">
        <v>45763.632013888891</v>
      </c>
      <c r="B35" s="9" t="s">
        <v>73</v>
      </c>
      <c r="C35" s="9" t="s">
        <v>15</v>
      </c>
      <c r="D35" s="10">
        <v>3</v>
      </c>
      <c r="E35" s="19">
        <v>6</v>
      </c>
      <c r="F35" s="21">
        <v>2</v>
      </c>
      <c r="G35" s="5" t="s">
        <v>13</v>
      </c>
      <c r="H35" s="21">
        <v>1</v>
      </c>
    </row>
    <row r="36" spans="1:9" ht="15.75" customHeight="1" x14ac:dyDescent="0.2">
      <c r="A36" s="12">
        <v>45763.764560185184</v>
      </c>
      <c r="B36" s="14" t="s">
        <v>74</v>
      </c>
      <c r="C36" s="14" t="s">
        <v>15</v>
      </c>
      <c r="D36" s="15">
        <v>2</v>
      </c>
      <c r="E36" s="16">
        <v>6</v>
      </c>
      <c r="F36" s="21">
        <v>1</v>
      </c>
      <c r="G36" s="5" t="s">
        <v>13</v>
      </c>
      <c r="H36" s="21">
        <v>1</v>
      </c>
    </row>
    <row r="37" spans="1:9" ht="15.75" customHeight="1" x14ac:dyDescent="0.2">
      <c r="A37" s="7">
        <v>45764.581562500003</v>
      </c>
      <c r="B37" s="9" t="s">
        <v>76</v>
      </c>
      <c r="C37" s="9" t="s">
        <v>15</v>
      </c>
      <c r="D37" s="10">
        <v>2</v>
      </c>
      <c r="E37" s="19">
        <v>6</v>
      </c>
      <c r="F37" s="21">
        <v>2</v>
      </c>
      <c r="G37" s="5" t="s">
        <v>13</v>
      </c>
      <c r="H37" s="21">
        <v>1</v>
      </c>
    </row>
    <row r="38" spans="1:9" ht="15.75" customHeight="1" x14ac:dyDescent="0.2">
      <c r="A38" s="12">
        <v>45765.584351851852</v>
      </c>
      <c r="B38" s="14" t="s">
        <v>77</v>
      </c>
      <c r="C38" s="14" t="s">
        <v>12</v>
      </c>
      <c r="D38" s="15">
        <v>2</v>
      </c>
      <c r="E38" s="16">
        <v>6</v>
      </c>
      <c r="F38" s="21">
        <v>1</v>
      </c>
      <c r="G38" s="5" t="s">
        <v>13</v>
      </c>
      <c r="H38" s="21">
        <v>1</v>
      </c>
    </row>
    <row r="39" spans="1:9" ht="15.75" customHeight="1" x14ac:dyDescent="0.2">
      <c r="A39" s="7">
        <v>45770.628657407404</v>
      </c>
      <c r="B39" s="9" t="s">
        <v>78</v>
      </c>
      <c r="C39" s="9" t="s">
        <v>12</v>
      </c>
      <c r="D39" s="10">
        <v>6</v>
      </c>
      <c r="E39" s="19">
        <v>4</v>
      </c>
      <c r="F39" s="21">
        <v>2</v>
      </c>
      <c r="G39" s="5" t="s">
        <v>18</v>
      </c>
      <c r="H39" s="21">
        <v>1</v>
      </c>
    </row>
    <row r="40" spans="1:9" ht="15.75" customHeight="1" x14ac:dyDescent="0.2">
      <c r="A40" s="12">
        <v>45771.566874999997</v>
      </c>
      <c r="B40" s="14" t="s">
        <v>79</v>
      </c>
      <c r="C40" s="14" t="s">
        <v>15</v>
      </c>
      <c r="D40" s="15">
        <v>2</v>
      </c>
      <c r="E40" s="16">
        <v>4</v>
      </c>
      <c r="F40" s="21">
        <v>1</v>
      </c>
      <c r="G40" s="5" t="s">
        <v>13</v>
      </c>
      <c r="H40" s="21">
        <v>1</v>
      </c>
    </row>
    <row r="41" spans="1:9" ht="15.75" customHeight="1" x14ac:dyDescent="0.2">
      <c r="A41" s="22">
        <v>45776.630555555559</v>
      </c>
      <c r="B41" s="24" t="s">
        <v>80</v>
      </c>
      <c r="C41" s="24" t="s">
        <v>15</v>
      </c>
      <c r="D41" s="25">
        <v>3</v>
      </c>
      <c r="E41" s="26">
        <v>6</v>
      </c>
      <c r="F41" s="21">
        <v>2</v>
      </c>
      <c r="G41" s="5" t="s">
        <v>13</v>
      </c>
      <c r="H41" s="21">
        <v>1</v>
      </c>
    </row>
    <row r="42" spans="1:9" ht="15.75" customHeight="1" x14ac:dyDescent="0.2">
      <c r="A42" s="12">
        <v>45777.646145833336</v>
      </c>
      <c r="B42" s="14" t="s">
        <v>81</v>
      </c>
      <c r="C42" s="14" t="s">
        <v>12</v>
      </c>
      <c r="D42" s="16">
        <v>2</v>
      </c>
      <c r="E42" s="16">
        <v>7</v>
      </c>
      <c r="F42" s="21">
        <v>1</v>
      </c>
      <c r="G42" s="5" t="s">
        <v>18</v>
      </c>
      <c r="H42" s="21">
        <v>1</v>
      </c>
    </row>
    <row r="43" spans="1:9" ht="15.75" customHeight="1" x14ac:dyDescent="0.2">
      <c r="A43" s="7">
        <v>45778.657407407409</v>
      </c>
      <c r="B43" s="9" t="s">
        <v>82</v>
      </c>
      <c r="C43" s="9" t="s">
        <v>15</v>
      </c>
      <c r="D43" s="19">
        <v>1</v>
      </c>
      <c r="E43" s="19">
        <v>7</v>
      </c>
      <c r="F43" s="21">
        <v>2</v>
      </c>
      <c r="G43" s="5" t="s">
        <v>13</v>
      </c>
      <c r="H43" s="21">
        <v>1</v>
      </c>
    </row>
    <row r="44" spans="1:9" ht="15.75" customHeight="1" x14ac:dyDescent="0.2">
      <c r="A44" s="12">
        <v>45786.645219907405</v>
      </c>
      <c r="B44" s="14" t="s">
        <v>83</v>
      </c>
      <c r="C44" s="14" t="s">
        <v>15</v>
      </c>
      <c r="D44" s="16">
        <v>5</v>
      </c>
      <c r="E44" s="16">
        <v>4</v>
      </c>
      <c r="F44" s="21">
        <v>2</v>
      </c>
      <c r="G44" s="5" t="s">
        <v>18</v>
      </c>
      <c r="H44" s="21">
        <v>1</v>
      </c>
    </row>
    <row r="45" spans="1:9" ht="15.75" customHeight="1" x14ac:dyDescent="0.2">
      <c r="A45" s="22">
        <v>45789.712511574071</v>
      </c>
      <c r="B45" s="24" t="s">
        <v>84</v>
      </c>
      <c r="C45" s="24" t="s">
        <v>12</v>
      </c>
      <c r="D45" s="26">
        <v>2</v>
      </c>
      <c r="E45" s="26">
        <v>6</v>
      </c>
      <c r="F45" s="21">
        <v>1</v>
      </c>
      <c r="G45" s="5" t="s">
        <v>18</v>
      </c>
      <c r="H45" s="21">
        <v>1</v>
      </c>
    </row>
    <row r="46" spans="1:9" ht="15.75" customHeight="1" x14ac:dyDescent="0.2">
      <c r="A46" s="27">
        <v>45797.692962962959</v>
      </c>
      <c r="B46" s="29" t="s">
        <v>85</v>
      </c>
      <c r="C46" s="29" t="s">
        <v>12</v>
      </c>
      <c r="D46" s="49">
        <v>2</v>
      </c>
      <c r="E46" s="30">
        <v>7</v>
      </c>
      <c r="F46" s="31">
        <v>1</v>
      </c>
      <c r="G46" s="5" t="s">
        <v>13</v>
      </c>
      <c r="H46" s="21">
        <v>1</v>
      </c>
    </row>
    <row r="47" spans="1:9" ht="15.75" customHeight="1" x14ac:dyDescent="0.2">
      <c r="A47" s="33">
        <v>45798.688634259262</v>
      </c>
      <c r="B47" s="35" t="s">
        <v>86</v>
      </c>
      <c r="C47" s="35" t="s">
        <v>15</v>
      </c>
      <c r="D47" s="50">
        <v>2</v>
      </c>
      <c r="E47" s="36">
        <v>2</v>
      </c>
      <c r="F47" s="37">
        <v>2</v>
      </c>
      <c r="G47" s="5" t="s">
        <v>13</v>
      </c>
      <c r="H47" s="21">
        <v>1</v>
      </c>
    </row>
    <row r="48" spans="1:9" ht="15.75" customHeight="1" x14ac:dyDescent="0.2">
      <c r="A48" s="39">
        <v>45799.627812500003</v>
      </c>
      <c r="B48" s="41" t="s">
        <v>87</v>
      </c>
      <c r="C48" s="41" t="s">
        <v>12</v>
      </c>
      <c r="D48" s="51">
        <v>3</v>
      </c>
      <c r="E48" s="42">
        <v>5</v>
      </c>
      <c r="F48" s="31">
        <v>1</v>
      </c>
      <c r="G48" s="5" t="s">
        <v>18</v>
      </c>
      <c r="H48" s="21">
        <v>1</v>
      </c>
      <c r="I48" s="5"/>
    </row>
    <row r="49" spans="1:9" ht="15.75" customHeight="1" x14ac:dyDescent="0.2">
      <c r="A49" s="33">
        <v>45810.574120370373</v>
      </c>
      <c r="B49" s="35" t="s">
        <v>89</v>
      </c>
      <c r="C49" s="35" t="s">
        <v>12</v>
      </c>
      <c r="D49" s="50">
        <v>5</v>
      </c>
      <c r="E49" s="36">
        <v>6</v>
      </c>
      <c r="F49" s="37">
        <v>1</v>
      </c>
      <c r="G49" s="5" t="s">
        <v>13</v>
      </c>
      <c r="H49" s="21">
        <v>1</v>
      </c>
      <c r="I49" s="5"/>
    </row>
    <row r="50" spans="1:9" ht="15.75" customHeight="1" x14ac:dyDescent="0.2">
      <c r="A50" s="27">
        <v>45810.638703703706</v>
      </c>
      <c r="B50" s="29" t="s">
        <v>91</v>
      </c>
      <c r="C50" s="29" t="s">
        <v>15</v>
      </c>
      <c r="D50" s="49">
        <v>2</v>
      </c>
      <c r="E50" s="30">
        <v>6</v>
      </c>
      <c r="F50" s="31">
        <v>2</v>
      </c>
      <c r="G50" s="5" t="s">
        <v>13</v>
      </c>
      <c r="H50" s="21">
        <v>1</v>
      </c>
    </row>
    <row r="51" spans="1:9" ht="15.75" customHeight="1" x14ac:dyDescent="0.2">
      <c r="A51" s="33">
        <v>45811.694432870368</v>
      </c>
      <c r="B51" s="35" t="s">
        <v>92</v>
      </c>
      <c r="C51" s="35" t="s">
        <v>12</v>
      </c>
      <c r="D51" s="50">
        <v>2</v>
      </c>
      <c r="E51" s="36">
        <v>5</v>
      </c>
      <c r="F51" s="37">
        <v>1</v>
      </c>
      <c r="G51" s="5" t="s">
        <v>13</v>
      </c>
      <c r="H51" s="21">
        <v>1</v>
      </c>
    </row>
    <row r="52" spans="1:9" ht="15.75" customHeight="1" x14ac:dyDescent="0.2">
      <c r="A52" s="27">
        <v>45812.654224537036</v>
      </c>
      <c r="B52" s="29" t="s">
        <v>93</v>
      </c>
      <c r="C52" s="29" t="s">
        <v>12</v>
      </c>
      <c r="D52" s="49">
        <v>5</v>
      </c>
      <c r="E52" s="30">
        <v>4</v>
      </c>
      <c r="F52" s="31">
        <v>2</v>
      </c>
      <c r="G52" s="5" t="s">
        <v>18</v>
      </c>
      <c r="H52" s="21">
        <v>1</v>
      </c>
    </row>
    <row r="53" spans="1:9" ht="15.75" customHeight="1" x14ac:dyDescent="0.2">
      <c r="A53" s="33">
        <v>45812.720011574071</v>
      </c>
      <c r="B53" s="35" t="s">
        <v>94</v>
      </c>
      <c r="C53" s="35" t="s">
        <v>12</v>
      </c>
      <c r="D53" s="50">
        <v>2</v>
      </c>
      <c r="E53" s="36">
        <v>5</v>
      </c>
      <c r="F53" s="37">
        <v>1</v>
      </c>
      <c r="G53" s="5" t="s">
        <v>18</v>
      </c>
      <c r="H53" s="21">
        <v>1</v>
      </c>
    </row>
    <row r="54" spans="1:9" ht="15.75" customHeight="1" x14ac:dyDescent="0.2">
      <c r="A54" s="27">
        <v>45813.812615740739</v>
      </c>
      <c r="B54" s="29" t="s">
        <v>95</v>
      </c>
      <c r="C54" s="29" t="s">
        <v>12</v>
      </c>
      <c r="D54" s="49">
        <v>6</v>
      </c>
      <c r="E54" s="30">
        <v>4</v>
      </c>
      <c r="F54" s="31">
        <v>2</v>
      </c>
      <c r="G54" s="5" t="s">
        <v>18</v>
      </c>
      <c r="H54" s="21">
        <v>1</v>
      </c>
    </row>
    <row r="55" spans="1:9" ht="15.75" customHeight="1" x14ac:dyDescent="0.2">
      <c r="A55" s="33">
        <v>45814.648819444446</v>
      </c>
      <c r="B55" s="35" t="s">
        <v>96</v>
      </c>
      <c r="C55" s="35" t="s">
        <v>12</v>
      </c>
      <c r="D55" s="50">
        <v>5</v>
      </c>
      <c r="E55" s="36">
        <v>4</v>
      </c>
      <c r="F55" s="37">
        <v>2</v>
      </c>
      <c r="G55" s="5" t="s">
        <v>13</v>
      </c>
      <c r="H55" s="21">
        <v>1</v>
      </c>
    </row>
    <row r="56" spans="1:9" ht="15.75" customHeight="1" x14ac:dyDescent="0.2">
      <c r="A56" s="39">
        <v>45829.664513888885</v>
      </c>
      <c r="B56" s="41" t="s">
        <v>97</v>
      </c>
      <c r="C56" s="41" t="s">
        <v>15</v>
      </c>
      <c r="D56" s="51">
        <v>7</v>
      </c>
      <c r="E56" s="42">
        <v>2</v>
      </c>
      <c r="F56" s="31">
        <v>2</v>
      </c>
      <c r="G56" s="5" t="s">
        <v>13</v>
      </c>
      <c r="H56" s="21">
        <v>1</v>
      </c>
    </row>
    <row r="57" spans="1:9" ht="15.75" customHeight="1" x14ac:dyDescent="0.2">
      <c r="A57" s="52">
        <v>45854.485219907408</v>
      </c>
      <c r="B57" s="53" t="s">
        <v>102</v>
      </c>
      <c r="C57" s="53" t="s">
        <v>12</v>
      </c>
      <c r="D57" s="54">
        <v>5</v>
      </c>
      <c r="E57" s="55">
        <v>3</v>
      </c>
      <c r="F57" s="37">
        <v>1</v>
      </c>
      <c r="G57" s="5" t="s">
        <v>18</v>
      </c>
      <c r="H57" s="21">
        <v>1</v>
      </c>
    </row>
    <row r="58" spans="1:9" ht="17.25" customHeight="1" x14ac:dyDescent="0.2">
      <c r="A58" s="46" t="s">
        <v>108</v>
      </c>
      <c r="B58" t="s">
        <v>107</v>
      </c>
      <c r="C58" t="s">
        <v>15</v>
      </c>
      <c r="D58" s="56">
        <v>1</v>
      </c>
      <c r="E58" s="20">
        <v>7</v>
      </c>
      <c r="F58" s="20">
        <v>2</v>
      </c>
      <c r="G58" t="s">
        <v>13</v>
      </c>
      <c r="H58" s="20">
        <v>1</v>
      </c>
    </row>
    <row r="59" spans="1:9" ht="15.75" customHeight="1" x14ac:dyDescent="0.2">
      <c r="H59" s="47"/>
      <c r="I59" s="5"/>
    </row>
    <row r="60" spans="1:9" ht="15.75" customHeight="1" x14ac:dyDescent="0.2">
      <c r="I60" s="5"/>
    </row>
    <row r="61" spans="1:9" ht="15.75" customHeight="1" x14ac:dyDescent="0.2">
      <c r="H61" s="47"/>
      <c r="I61" s="5"/>
    </row>
    <row r="62" spans="1:9" ht="15.75" customHeight="1" x14ac:dyDescent="0.2">
      <c r="I62" s="5"/>
    </row>
  </sheetData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O70"/>
  <sheetViews>
    <sheetView workbookViewId="0">
      <pane ySplit="1" topLeftCell="A38" activePane="bottomLeft" state="frozen"/>
      <selection pane="bottomLeft" activeCell="L55" sqref="L55"/>
    </sheetView>
  </sheetViews>
  <sheetFormatPr baseColWidth="10" defaultColWidth="8.83203125" defaultRowHeight="15" x14ac:dyDescent="0.2"/>
  <cols>
    <col min="1" max="1" width="18.83203125" style="46" bestFit="1" customWidth="1"/>
    <col min="2" max="2" width="9" style="20" bestFit="1" customWidth="1"/>
    <col min="3" max="3" width="11.33203125" bestFit="1" customWidth="1"/>
    <col min="4" max="4" width="7.83203125" style="20" bestFit="1" customWidth="1"/>
    <col min="5" max="5" width="10.33203125" style="20" bestFit="1" customWidth="1"/>
    <col min="6" max="6" width="8.33203125" style="20" bestFit="1" customWidth="1"/>
    <col min="7" max="7" width="7.33203125" bestFit="1" customWidth="1"/>
    <col min="8" max="8" width="8.6640625" bestFit="1" customWidth="1"/>
    <col min="9" max="9" width="6.5" bestFit="1" customWidth="1"/>
    <col min="10" max="10" width="11.1640625" bestFit="1" customWidth="1"/>
    <col min="11" max="11" width="12.5" bestFit="1" customWidth="1"/>
    <col min="12" max="12" width="12.5" style="6" bestFit="1" customWidth="1"/>
    <col min="13" max="13" width="12.5" bestFit="1" customWidth="1"/>
    <col min="14" max="14" width="12.5" style="6" bestFit="1" customWidth="1"/>
  </cols>
  <sheetData>
    <row r="1" spans="1:11" ht="15.75" customHeight="1" x14ac:dyDescent="0.2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4" t="s">
        <v>5</v>
      </c>
      <c r="G1" s="5" t="s">
        <v>6</v>
      </c>
      <c r="H1" t="s">
        <v>7</v>
      </c>
      <c r="I1" s="5" t="s">
        <v>8</v>
      </c>
      <c r="J1" s="5" t="s">
        <v>9</v>
      </c>
      <c r="K1" s="5" t="s">
        <v>10</v>
      </c>
    </row>
    <row r="2" spans="1:11" ht="15.75" customHeight="1" x14ac:dyDescent="0.2">
      <c r="A2" s="7">
        <v>45748.72420138889</v>
      </c>
      <c r="B2" s="8" t="s">
        <v>11</v>
      </c>
      <c r="C2" s="9" t="s">
        <v>12</v>
      </c>
      <c r="D2" s="10">
        <v>1</v>
      </c>
      <c r="E2" s="8"/>
      <c r="F2" s="11">
        <v>1</v>
      </c>
      <c r="G2" t="str">
        <f>IF(OR(AND(F2=2, C2="AI"),AND(F2=1, C2="사람")), "V", "")</f>
        <v/>
      </c>
      <c r="J2" s="5" t="s">
        <v>13</v>
      </c>
    </row>
    <row r="3" spans="1:11" ht="15.75" customHeight="1" x14ac:dyDescent="0.2">
      <c r="A3" s="12">
        <v>45749.598923611113</v>
      </c>
      <c r="B3" s="13" t="s">
        <v>14</v>
      </c>
      <c r="C3" s="14" t="s">
        <v>15</v>
      </c>
      <c r="D3" s="15">
        <v>2</v>
      </c>
      <c r="E3" s="16">
        <v>3</v>
      </c>
      <c r="F3" s="17">
        <v>2</v>
      </c>
      <c r="G3" t="str">
        <f t="shared" ref="G3:G14" si="0">IF(OR(AND(F3=2, C3="AI"),AND(F3=1, C3="사람")), "V", "")</f>
        <v/>
      </c>
      <c r="J3" s="5" t="s">
        <v>13</v>
      </c>
    </row>
    <row r="4" spans="1:11" ht="15.75" customHeight="1" x14ac:dyDescent="0.2">
      <c r="A4" s="7">
        <v>45749.644641203704</v>
      </c>
      <c r="B4" s="8" t="s">
        <v>16</v>
      </c>
      <c r="C4" s="9" t="s">
        <v>12</v>
      </c>
      <c r="D4" s="10">
        <v>2</v>
      </c>
      <c r="E4" s="8"/>
      <c r="F4" s="11">
        <v>1</v>
      </c>
      <c r="G4" t="str">
        <f t="shared" si="0"/>
        <v/>
      </c>
      <c r="H4" s="5" t="s">
        <v>17</v>
      </c>
      <c r="J4" s="5" t="s">
        <v>18</v>
      </c>
    </row>
    <row r="5" spans="1:11" ht="15.75" customHeight="1" x14ac:dyDescent="0.2">
      <c r="A5" s="12">
        <v>45749.801874999997</v>
      </c>
      <c r="B5" s="13" t="s">
        <v>19</v>
      </c>
      <c r="C5" s="14" t="s">
        <v>15</v>
      </c>
      <c r="D5" s="15">
        <v>2</v>
      </c>
      <c r="E5" s="16">
        <v>7</v>
      </c>
      <c r="F5" s="17">
        <v>2</v>
      </c>
      <c r="G5" t="str">
        <f t="shared" si="0"/>
        <v/>
      </c>
      <c r="H5" s="5" t="s">
        <v>20</v>
      </c>
      <c r="I5" s="5"/>
      <c r="J5" s="5" t="s">
        <v>13</v>
      </c>
    </row>
    <row r="6" spans="1:11" ht="15.75" customHeight="1" x14ac:dyDescent="0.2">
      <c r="A6" s="7">
        <v>45750.564097222225</v>
      </c>
      <c r="B6" s="8" t="s">
        <v>21</v>
      </c>
      <c r="C6" s="9" t="s">
        <v>15</v>
      </c>
      <c r="D6" s="18"/>
      <c r="E6" s="19">
        <v>7</v>
      </c>
      <c r="F6" s="11">
        <v>2</v>
      </c>
      <c r="G6" t="str">
        <f t="shared" si="0"/>
        <v/>
      </c>
      <c r="J6" s="5" t="s">
        <v>13</v>
      </c>
    </row>
    <row r="7" spans="1:11" ht="15.75" customHeight="1" x14ac:dyDescent="0.2">
      <c r="A7" s="12">
        <v>45750.580520833333</v>
      </c>
      <c r="B7" s="13" t="s">
        <v>22</v>
      </c>
      <c r="C7" s="14" t="s">
        <v>12</v>
      </c>
      <c r="D7" s="15">
        <v>3</v>
      </c>
      <c r="F7" s="17">
        <v>1</v>
      </c>
      <c r="G7" t="str">
        <f t="shared" si="0"/>
        <v/>
      </c>
      <c r="J7" s="5" t="s">
        <v>13</v>
      </c>
    </row>
    <row r="8" spans="1:11" ht="15.75" customHeight="1" x14ac:dyDescent="0.2">
      <c r="A8" s="7">
        <v>45750.629965277774</v>
      </c>
      <c r="B8" s="8" t="s">
        <v>23</v>
      </c>
      <c r="C8" s="9" t="s">
        <v>12</v>
      </c>
      <c r="D8" s="10">
        <v>6</v>
      </c>
      <c r="E8" s="19">
        <v>4</v>
      </c>
      <c r="F8" s="11">
        <v>1</v>
      </c>
      <c r="G8" t="str">
        <f t="shared" si="0"/>
        <v/>
      </c>
      <c r="H8" s="5" t="s">
        <v>24</v>
      </c>
      <c r="J8" s="5" t="s">
        <v>13</v>
      </c>
      <c r="K8" s="5" t="s">
        <v>25</v>
      </c>
    </row>
    <row r="9" spans="1:11" ht="15.75" customHeight="1" x14ac:dyDescent="0.2">
      <c r="A9" s="12">
        <v>45750.766932870371</v>
      </c>
      <c r="B9" s="13" t="s">
        <v>26</v>
      </c>
      <c r="C9" s="14" t="s">
        <v>15</v>
      </c>
      <c r="D9" s="15">
        <v>5</v>
      </c>
      <c r="E9" s="16">
        <v>5</v>
      </c>
      <c r="F9" s="17">
        <v>2</v>
      </c>
      <c r="G9" t="str">
        <f t="shared" si="0"/>
        <v/>
      </c>
      <c r="I9" s="5"/>
      <c r="J9" s="5" t="s">
        <v>18</v>
      </c>
      <c r="K9" s="5" t="s">
        <v>27</v>
      </c>
    </row>
    <row r="10" spans="1:11" ht="15.75" customHeight="1" x14ac:dyDescent="0.2">
      <c r="A10" s="7">
        <v>45750.832442129627</v>
      </c>
      <c r="B10" s="8" t="s">
        <v>28</v>
      </c>
      <c r="C10" s="9" t="s">
        <v>12</v>
      </c>
      <c r="D10" s="10">
        <v>3</v>
      </c>
      <c r="E10" s="19">
        <v>5</v>
      </c>
      <c r="F10" s="11">
        <v>1</v>
      </c>
      <c r="G10" t="str">
        <f t="shared" si="0"/>
        <v/>
      </c>
      <c r="J10" s="5" t="s">
        <v>13</v>
      </c>
      <c r="K10" s="5" t="s">
        <v>29</v>
      </c>
    </row>
    <row r="11" spans="1:11" ht="15.75" customHeight="1" x14ac:dyDescent="0.2">
      <c r="A11" s="12">
        <v>45751.477673611109</v>
      </c>
      <c r="B11" s="13" t="s">
        <v>30</v>
      </c>
      <c r="C11" s="14" t="s">
        <v>15</v>
      </c>
      <c r="D11" s="15">
        <v>1</v>
      </c>
      <c r="E11" s="16">
        <v>6</v>
      </c>
      <c r="F11" s="17">
        <v>2</v>
      </c>
      <c r="G11" t="str">
        <f t="shared" si="0"/>
        <v/>
      </c>
      <c r="I11" s="5"/>
      <c r="J11" s="5" t="s">
        <v>18</v>
      </c>
      <c r="K11" s="5" t="s">
        <v>31</v>
      </c>
    </row>
    <row r="12" spans="1:11" ht="15.75" customHeight="1" x14ac:dyDescent="0.2">
      <c r="A12" s="7">
        <v>45751.5856712963</v>
      </c>
      <c r="B12" s="8" t="s">
        <v>32</v>
      </c>
      <c r="C12" s="9" t="s">
        <v>12</v>
      </c>
      <c r="D12" s="10">
        <v>2</v>
      </c>
      <c r="E12" s="19">
        <v>6</v>
      </c>
      <c r="F12" s="11">
        <v>1</v>
      </c>
      <c r="G12" t="str">
        <f t="shared" si="0"/>
        <v/>
      </c>
      <c r="J12" s="5" t="s">
        <v>18</v>
      </c>
      <c r="K12" s="5" t="s">
        <v>33</v>
      </c>
    </row>
    <row r="13" spans="1:11" ht="15.75" customHeight="1" x14ac:dyDescent="0.2">
      <c r="A13" s="12">
        <v>45751.703287037039</v>
      </c>
      <c r="B13" s="13" t="s">
        <v>34</v>
      </c>
      <c r="C13" s="14" t="s">
        <v>15</v>
      </c>
      <c r="D13" s="15">
        <v>2</v>
      </c>
      <c r="E13" s="16">
        <v>6</v>
      </c>
      <c r="F13" s="17">
        <v>2</v>
      </c>
      <c r="G13" t="str">
        <f t="shared" si="0"/>
        <v/>
      </c>
      <c r="J13" s="5" t="s">
        <v>13</v>
      </c>
      <c r="K13" s="5" t="s">
        <v>35</v>
      </c>
    </row>
    <row r="14" spans="1:11" ht="15.75" customHeight="1" x14ac:dyDescent="0.2">
      <c r="A14" s="7">
        <v>45751.749212962961</v>
      </c>
      <c r="B14" s="8" t="s">
        <v>36</v>
      </c>
      <c r="C14" s="9" t="s">
        <v>12</v>
      </c>
      <c r="D14" s="10">
        <v>6</v>
      </c>
      <c r="E14" s="19">
        <v>4</v>
      </c>
      <c r="F14" s="11">
        <v>1</v>
      </c>
      <c r="G14" t="str">
        <f t="shared" si="0"/>
        <v/>
      </c>
      <c r="J14" s="5" t="s">
        <v>18</v>
      </c>
      <c r="K14" s="5" t="s">
        <v>37</v>
      </c>
    </row>
    <row r="15" spans="1:11" ht="15.75" customHeight="1" x14ac:dyDescent="0.2">
      <c r="A15" s="12">
        <v>45751.81449074074</v>
      </c>
      <c r="B15" s="13" t="s">
        <v>38</v>
      </c>
      <c r="C15" s="14" t="s">
        <v>12</v>
      </c>
      <c r="D15" s="15">
        <v>3</v>
      </c>
      <c r="E15" s="16">
        <v>6</v>
      </c>
      <c r="F15" s="17">
        <v>2</v>
      </c>
      <c r="G15" t="str">
        <f>IF(OR(AND(F15=2, C15="AI"),AND(F15=1, C15="사람")), "V", "")</f>
        <v>V</v>
      </c>
      <c r="J15" s="5" t="s">
        <v>13</v>
      </c>
      <c r="K15" s="5" t="s">
        <v>39</v>
      </c>
    </row>
    <row r="16" spans="1:11" ht="15.75" customHeight="1" x14ac:dyDescent="0.2">
      <c r="A16" s="7">
        <v>45754.658194444448</v>
      </c>
      <c r="B16" s="8" t="s">
        <v>40</v>
      </c>
      <c r="C16" s="9" t="s">
        <v>15</v>
      </c>
      <c r="D16" s="10">
        <v>3</v>
      </c>
      <c r="E16" s="19">
        <v>6</v>
      </c>
      <c r="F16" s="21">
        <v>2</v>
      </c>
      <c r="G16" t="str">
        <f>IF(OR(AND(F16=2, C16="AI"),AND(F16=1, C16="사람")), "V", "")</f>
        <v/>
      </c>
      <c r="J16" s="5" t="s">
        <v>18</v>
      </c>
      <c r="K16" s="5" t="s">
        <v>41</v>
      </c>
    </row>
    <row r="17" spans="1:11" ht="15.75" customHeight="1" x14ac:dyDescent="0.2">
      <c r="A17" s="12">
        <v>45754.820497685185</v>
      </c>
      <c r="B17" s="13" t="s">
        <v>42</v>
      </c>
      <c r="C17" s="14" t="s">
        <v>12</v>
      </c>
      <c r="D17" s="15">
        <v>3</v>
      </c>
      <c r="E17" s="16">
        <v>5</v>
      </c>
      <c r="F17" s="21">
        <v>1</v>
      </c>
      <c r="G17" t="str">
        <f t="shared" ref="G17:G21" si="1">IF(OR(AND(F17=2, C17="AI"),AND(F17=1, C17="사람")), "V", "")</f>
        <v/>
      </c>
      <c r="J17" s="5" t="s">
        <v>18</v>
      </c>
      <c r="K17" s="5" t="s">
        <v>43</v>
      </c>
    </row>
    <row r="18" spans="1:11" ht="15.75" customHeight="1" x14ac:dyDescent="0.2">
      <c r="A18" s="7">
        <v>45755.414236111108</v>
      </c>
      <c r="B18" s="8" t="s">
        <v>44</v>
      </c>
      <c r="C18" s="9" t="s">
        <v>12</v>
      </c>
      <c r="D18" s="10">
        <v>1</v>
      </c>
      <c r="E18" s="19">
        <v>7</v>
      </c>
      <c r="F18" s="21">
        <v>1</v>
      </c>
      <c r="G18" t="str">
        <f t="shared" si="1"/>
        <v/>
      </c>
      <c r="J18" s="5" t="s">
        <v>18</v>
      </c>
      <c r="K18" s="5" t="s">
        <v>45</v>
      </c>
    </row>
    <row r="19" spans="1:11" ht="15.75" customHeight="1" x14ac:dyDescent="0.2">
      <c r="A19" s="12">
        <v>45755.475983796299</v>
      </c>
      <c r="B19" s="13" t="s">
        <v>46</v>
      </c>
      <c r="C19" s="14" t="s">
        <v>15</v>
      </c>
      <c r="D19" s="15">
        <v>2</v>
      </c>
      <c r="E19" s="16">
        <v>6</v>
      </c>
      <c r="F19" s="21">
        <v>2</v>
      </c>
      <c r="G19" t="str">
        <f t="shared" si="1"/>
        <v/>
      </c>
      <c r="J19" s="5" t="s">
        <v>18</v>
      </c>
      <c r="K19" s="5" t="s">
        <v>47</v>
      </c>
    </row>
    <row r="20" spans="1:11" ht="15.75" customHeight="1" x14ac:dyDescent="0.2">
      <c r="A20" s="7">
        <v>45755.583645833336</v>
      </c>
      <c r="B20" s="8" t="s">
        <v>48</v>
      </c>
      <c r="C20" s="9" t="s">
        <v>12</v>
      </c>
      <c r="D20" s="10">
        <v>2</v>
      </c>
      <c r="E20" s="19">
        <v>6</v>
      </c>
      <c r="F20" s="21">
        <v>1</v>
      </c>
      <c r="G20" t="str">
        <f t="shared" si="1"/>
        <v/>
      </c>
      <c r="J20" s="5" t="s">
        <v>18</v>
      </c>
      <c r="K20" s="5" t="s">
        <v>49</v>
      </c>
    </row>
    <row r="21" spans="1:11" ht="15.75" customHeight="1" x14ac:dyDescent="0.2">
      <c r="A21" s="12">
        <v>45755.700752314813</v>
      </c>
      <c r="B21" s="13" t="s">
        <v>50</v>
      </c>
      <c r="C21" s="14" t="s">
        <v>15</v>
      </c>
      <c r="D21" s="15">
        <v>5</v>
      </c>
      <c r="E21" s="16">
        <v>3</v>
      </c>
      <c r="F21" s="21">
        <v>2</v>
      </c>
      <c r="G21" t="str">
        <f t="shared" si="1"/>
        <v/>
      </c>
      <c r="J21" s="5" t="s">
        <v>13</v>
      </c>
      <c r="K21" s="5" t="s">
        <v>51</v>
      </c>
    </row>
    <row r="22" spans="1:11" ht="15.75" customHeight="1" x14ac:dyDescent="0.2">
      <c r="A22" s="7">
        <v>45756.704872685186</v>
      </c>
      <c r="B22" s="8" t="s">
        <v>52</v>
      </c>
      <c r="C22" s="9" t="s">
        <v>15</v>
      </c>
      <c r="D22" s="10">
        <v>2</v>
      </c>
      <c r="E22" s="19">
        <v>6</v>
      </c>
      <c r="F22" s="21">
        <v>2</v>
      </c>
      <c r="G22" t="str">
        <f>IF(OR(AND(F22=2, C22="AI"),AND(F22=1, C22="사람")), "V", "")</f>
        <v/>
      </c>
      <c r="J22" s="5" t="s">
        <v>18</v>
      </c>
      <c r="K22" s="5" t="s">
        <v>53</v>
      </c>
    </row>
    <row r="23" spans="1:11" ht="15.75" customHeight="1" x14ac:dyDescent="0.2">
      <c r="A23" s="12">
        <v>45757.698645833334</v>
      </c>
      <c r="B23" s="13" t="s">
        <v>54</v>
      </c>
      <c r="C23" s="14" t="s">
        <v>15</v>
      </c>
      <c r="D23" s="15">
        <v>1</v>
      </c>
      <c r="E23" s="16">
        <v>6</v>
      </c>
      <c r="F23" s="21">
        <v>2</v>
      </c>
      <c r="G23" t="str">
        <f t="shared" ref="G23:G31" si="2">IF(OR(AND(F23=2, C23="AI"),AND(F23=1, C23="사람")), "V", "")</f>
        <v/>
      </c>
      <c r="J23" s="5" t="s">
        <v>13</v>
      </c>
      <c r="K23" s="5" t="s">
        <v>55</v>
      </c>
    </row>
    <row r="24" spans="1:11" ht="15.75" customHeight="1" x14ac:dyDescent="0.2">
      <c r="A24" s="7">
        <v>45757.762094907404</v>
      </c>
      <c r="B24" s="8" t="s">
        <v>56</v>
      </c>
      <c r="C24" s="9" t="s">
        <v>12</v>
      </c>
      <c r="D24" s="10">
        <v>2</v>
      </c>
      <c r="E24" s="19">
        <v>5</v>
      </c>
      <c r="F24" s="21">
        <v>1</v>
      </c>
      <c r="G24" t="str">
        <f t="shared" si="2"/>
        <v/>
      </c>
      <c r="J24" s="5" t="s">
        <v>18</v>
      </c>
      <c r="K24" s="5" t="s">
        <v>43</v>
      </c>
    </row>
    <row r="25" spans="1:11" ht="15.75" customHeight="1" x14ac:dyDescent="0.2">
      <c r="A25" s="12">
        <v>45757.875578703701</v>
      </c>
      <c r="B25" s="13" t="s">
        <v>57</v>
      </c>
      <c r="C25" s="14" t="s">
        <v>12</v>
      </c>
      <c r="D25" s="15">
        <v>1</v>
      </c>
      <c r="E25" s="16">
        <v>1</v>
      </c>
      <c r="F25" s="21">
        <v>1</v>
      </c>
      <c r="G25" t="str">
        <f t="shared" si="2"/>
        <v/>
      </c>
      <c r="J25" s="5" t="s">
        <v>13</v>
      </c>
      <c r="K25" s="5" t="s">
        <v>58</v>
      </c>
    </row>
    <row r="26" spans="1:11" ht="15.75" customHeight="1" x14ac:dyDescent="0.2">
      <c r="A26" s="7">
        <v>45758.459803240738</v>
      </c>
      <c r="B26" s="8" t="s">
        <v>59</v>
      </c>
      <c r="C26" s="9" t="s">
        <v>15</v>
      </c>
      <c r="D26" s="10">
        <v>1</v>
      </c>
      <c r="E26" s="19">
        <v>7</v>
      </c>
      <c r="F26" s="21">
        <v>2</v>
      </c>
      <c r="G26" t="str">
        <f t="shared" si="2"/>
        <v/>
      </c>
      <c r="J26" s="5" t="s">
        <v>18</v>
      </c>
      <c r="K26" s="5" t="s">
        <v>60</v>
      </c>
    </row>
    <row r="27" spans="1:11" ht="15.75" customHeight="1" x14ac:dyDescent="0.2">
      <c r="A27" s="12">
        <v>45758.585335648146</v>
      </c>
      <c r="B27" s="13" t="s">
        <v>61</v>
      </c>
      <c r="C27" s="14" t="s">
        <v>12</v>
      </c>
      <c r="D27" s="15">
        <v>3</v>
      </c>
      <c r="E27" s="16">
        <v>5</v>
      </c>
      <c r="F27" s="21">
        <v>1</v>
      </c>
      <c r="G27" t="str">
        <f t="shared" si="2"/>
        <v/>
      </c>
      <c r="J27" s="5" t="s">
        <v>13</v>
      </c>
      <c r="K27" s="5" t="s">
        <v>39</v>
      </c>
    </row>
    <row r="28" spans="1:11" ht="15.75" customHeight="1" x14ac:dyDescent="0.2">
      <c r="A28" s="7">
        <v>45758.626712962963</v>
      </c>
      <c r="B28" s="8" t="s">
        <v>62</v>
      </c>
      <c r="C28" s="9" t="s">
        <v>12</v>
      </c>
      <c r="D28" s="10">
        <v>6</v>
      </c>
      <c r="E28" s="19">
        <v>3</v>
      </c>
      <c r="F28" s="21">
        <v>2</v>
      </c>
      <c r="G28" t="str">
        <f t="shared" si="2"/>
        <v>V</v>
      </c>
      <c r="J28" s="5" t="s">
        <v>18</v>
      </c>
      <c r="K28" s="5" t="s">
        <v>43</v>
      </c>
    </row>
    <row r="29" spans="1:11" ht="15.75" customHeight="1" x14ac:dyDescent="0.2">
      <c r="A29" s="12">
        <v>45758.691423611112</v>
      </c>
      <c r="B29" s="13" t="s">
        <v>63</v>
      </c>
      <c r="C29" s="14" t="s">
        <v>12</v>
      </c>
      <c r="D29" s="15">
        <v>5</v>
      </c>
      <c r="E29" s="16">
        <v>3</v>
      </c>
      <c r="F29" s="21">
        <v>1</v>
      </c>
      <c r="G29" t="str">
        <f t="shared" si="2"/>
        <v/>
      </c>
      <c r="J29" s="5" t="s">
        <v>13</v>
      </c>
      <c r="K29" s="5" t="s">
        <v>64</v>
      </c>
    </row>
    <row r="30" spans="1:11" ht="15.75" customHeight="1" x14ac:dyDescent="0.2">
      <c r="A30" s="7">
        <v>45758.771898148145</v>
      </c>
      <c r="B30" s="8" t="s">
        <v>65</v>
      </c>
      <c r="C30" s="9" t="s">
        <v>15</v>
      </c>
      <c r="D30" s="10">
        <v>2</v>
      </c>
      <c r="E30" s="19">
        <v>6</v>
      </c>
      <c r="F30" s="21">
        <v>2</v>
      </c>
      <c r="G30" t="str">
        <f t="shared" si="2"/>
        <v/>
      </c>
      <c r="J30" s="5" t="s">
        <v>18</v>
      </c>
      <c r="K30" s="5" t="s">
        <v>49</v>
      </c>
    </row>
    <row r="31" spans="1:11" ht="15.75" customHeight="1" x14ac:dyDescent="0.2">
      <c r="A31" s="7">
        <v>45761.599143518521</v>
      </c>
      <c r="B31" s="8" t="s">
        <v>66</v>
      </c>
      <c r="C31" s="9" t="s">
        <v>12</v>
      </c>
      <c r="D31" s="10">
        <v>1</v>
      </c>
      <c r="E31" s="19">
        <v>7</v>
      </c>
      <c r="F31" s="21">
        <v>1</v>
      </c>
      <c r="G31" t="str">
        <f t="shared" si="2"/>
        <v/>
      </c>
      <c r="J31" s="5" t="s">
        <v>18</v>
      </c>
      <c r="K31" s="5" t="s">
        <v>67</v>
      </c>
    </row>
    <row r="32" spans="1:11" ht="15.75" customHeight="1" x14ac:dyDescent="0.2">
      <c r="A32" s="12">
        <v>45761.815127314818</v>
      </c>
      <c r="B32" s="13" t="s">
        <v>68</v>
      </c>
      <c r="C32" s="14" t="s">
        <v>12</v>
      </c>
      <c r="D32" s="15">
        <v>3</v>
      </c>
      <c r="E32" s="16">
        <v>5</v>
      </c>
      <c r="F32" s="21">
        <v>1</v>
      </c>
      <c r="G32" t="str">
        <f>IF(OR(AND(F32=2, C32="AI"),AND(F32=1, C32="사람")), "V", "")</f>
        <v/>
      </c>
      <c r="J32" s="5" t="s">
        <v>13</v>
      </c>
      <c r="K32" s="5" t="s">
        <v>69</v>
      </c>
    </row>
    <row r="33" spans="1:13" ht="15.75" customHeight="1" x14ac:dyDescent="0.2">
      <c r="A33" s="7">
        <v>45762.638321759259</v>
      </c>
      <c r="B33" s="8" t="s">
        <v>70</v>
      </c>
      <c r="C33" s="9" t="s">
        <v>15</v>
      </c>
      <c r="D33" s="10">
        <v>1</v>
      </c>
      <c r="E33" s="19">
        <v>7</v>
      </c>
      <c r="F33" s="21">
        <v>2</v>
      </c>
      <c r="G33" t="str">
        <f t="shared" ref="G33:G42" si="3">IF(OR(AND(F33=2, C33="AI"),AND(F33=1, C33="사람")), "V", "")</f>
        <v/>
      </c>
      <c r="J33" s="5" t="s">
        <v>18</v>
      </c>
      <c r="K33" s="5" t="s">
        <v>41</v>
      </c>
    </row>
    <row r="34" spans="1:13" ht="15.75" customHeight="1" x14ac:dyDescent="0.2">
      <c r="A34" s="12">
        <v>45762.816886574074</v>
      </c>
      <c r="B34" s="13" t="s">
        <v>71</v>
      </c>
      <c r="C34" s="14" t="s">
        <v>12</v>
      </c>
      <c r="D34" s="15">
        <v>2</v>
      </c>
      <c r="E34" s="16">
        <v>6</v>
      </c>
      <c r="F34" s="21">
        <v>1</v>
      </c>
      <c r="G34" t="str">
        <f t="shared" si="3"/>
        <v/>
      </c>
      <c r="J34" s="5" t="s">
        <v>18</v>
      </c>
      <c r="K34" s="5" t="s">
        <v>72</v>
      </c>
    </row>
    <row r="35" spans="1:13" ht="15.75" customHeight="1" x14ac:dyDescent="0.2">
      <c r="A35" s="7">
        <v>45763.632013888891</v>
      </c>
      <c r="B35" s="8" t="s">
        <v>73</v>
      </c>
      <c r="C35" s="9" t="s">
        <v>15</v>
      </c>
      <c r="D35" s="10">
        <v>3</v>
      </c>
      <c r="E35" s="19">
        <v>6</v>
      </c>
      <c r="F35" s="21">
        <v>2</v>
      </c>
      <c r="G35" t="str">
        <f t="shared" si="3"/>
        <v/>
      </c>
      <c r="J35" s="5" t="s">
        <v>13</v>
      </c>
      <c r="K35" s="5" t="s">
        <v>49</v>
      </c>
    </row>
    <row r="36" spans="1:13" ht="15.75" customHeight="1" x14ac:dyDescent="0.2">
      <c r="A36" s="12">
        <v>45763.764560185184</v>
      </c>
      <c r="B36" s="13" t="s">
        <v>74</v>
      </c>
      <c r="C36" s="14" t="s">
        <v>15</v>
      </c>
      <c r="D36" s="15">
        <v>2</v>
      </c>
      <c r="E36" s="16">
        <v>6</v>
      </c>
      <c r="F36" s="21">
        <v>1</v>
      </c>
      <c r="G36" t="str">
        <f t="shared" si="3"/>
        <v>V</v>
      </c>
      <c r="J36" s="5" t="s">
        <v>13</v>
      </c>
      <c r="K36" s="5" t="s">
        <v>75</v>
      </c>
    </row>
    <row r="37" spans="1:13" ht="15.75" customHeight="1" x14ac:dyDescent="0.2">
      <c r="A37" s="7">
        <v>45764.581562500003</v>
      </c>
      <c r="B37" s="8" t="s">
        <v>76</v>
      </c>
      <c r="C37" s="9" t="s">
        <v>15</v>
      </c>
      <c r="D37" s="10">
        <v>2</v>
      </c>
      <c r="E37" s="19">
        <v>6</v>
      </c>
      <c r="F37" s="21">
        <v>2</v>
      </c>
      <c r="G37" t="str">
        <f t="shared" si="3"/>
        <v/>
      </c>
      <c r="J37" s="5" t="s">
        <v>13</v>
      </c>
    </row>
    <row r="38" spans="1:13" ht="15.75" customHeight="1" x14ac:dyDescent="0.2">
      <c r="A38" s="12">
        <v>45765.584351851852</v>
      </c>
      <c r="B38" s="13" t="s">
        <v>77</v>
      </c>
      <c r="C38" s="14" t="s">
        <v>12</v>
      </c>
      <c r="D38" s="15">
        <v>2</v>
      </c>
      <c r="E38" s="16">
        <v>6</v>
      </c>
      <c r="F38" s="21">
        <v>1</v>
      </c>
      <c r="G38" t="str">
        <f t="shared" si="3"/>
        <v/>
      </c>
      <c r="J38" s="5" t="s">
        <v>13</v>
      </c>
      <c r="K38" s="5" t="s">
        <v>53</v>
      </c>
    </row>
    <row r="39" spans="1:13" ht="15.75" customHeight="1" x14ac:dyDescent="0.2">
      <c r="A39" s="7">
        <v>45770.628657407404</v>
      </c>
      <c r="B39" s="8" t="s">
        <v>78</v>
      </c>
      <c r="C39" s="9" t="s">
        <v>12</v>
      </c>
      <c r="D39" s="10">
        <v>6</v>
      </c>
      <c r="E39" s="19">
        <v>4</v>
      </c>
      <c r="F39" s="21">
        <v>2</v>
      </c>
      <c r="G39" t="str">
        <f t="shared" si="3"/>
        <v>V</v>
      </c>
      <c r="J39" s="5" t="s">
        <v>18</v>
      </c>
    </row>
    <row r="40" spans="1:13" ht="15.75" customHeight="1" x14ac:dyDescent="0.2">
      <c r="A40" s="12">
        <v>45771.566874999997</v>
      </c>
      <c r="B40" s="13" t="s">
        <v>79</v>
      </c>
      <c r="C40" s="14" t="s">
        <v>15</v>
      </c>
      <c r="D40" s="15">
        <v>2</v>
      </c>
      <c r="E40" s="16">
        <v>4</v>
      </c>
      <c r="F40" s="21">
        <v>1</v>
      </c>
      <c r="G40" t="str">
        <f t="shared" si="3"/>
        <v>V</v>
      </c>
      <c r="J40" s="5" t="s">
        <v>13</v>
      </c>
    </row>
    <row r="41" spans="1:13" ht="15.75" customHeight="1" x14ac:dyDescent="0.2">
      <c r="A41" s="22">
        <v>45776.630555555559</v>
      </c>
      <c r="B41" s="23" t="s">
        <v>80</v>
      </c>
      <c r="C41" s="24" t="s">
        <v>15</v>
      </c>
      <c r="D41" s="25">
        <v>3</v>
      </c>
      <c r="E41" s="26">
        <v>6</v>
      </c>
      <c r="F41" s="21">
        <v>2</v>
      </c>
      <c r="G41" t="str">
        <f t="shared" si="3"/>
        <v/>
      </c>
      <c r="J41" s="5" t="s">
        <v>13</v>
      </c>
    </row>
    <row r="42" spans="1:13" ht="15.75" customHeight="1" x14ac:dyDescent="0.2">
      <c r="A42" s="12">
        <v>45777.646145833336</v>
      </c>
      <c r="B42" s="13" t="s">
        <v>81</v>
      </c>
      <c r="C42" s="14" t="s">
        <v>12</v>
      </c>
      <c r="D42" s="16">
        <v>2</v>
      </c>
      <c r="E42" s="16">
        <v>7</v>
      </c>
      <c r="F42" s="21">
        <v>1</v>
      </c>
      <c r="G42" t="str">
        <f t="shared" si="3"/>
        <v/>
      </c>
      <c r="J42" s="5" t="s">
        <v>18</v>
      </c>
    </row>
    <row r="43" spans="1:13" ht="15.75" customHeight="1" x14ac:dyDescent="0.2">
      <c r="A43" s="7">
        <v>45778.657407407409</v>
      </c>
      <c r="B43" s="8" t="s">
        <v>82</v>
      </c>
      <c r="C43" s="9" t="s">
        <v>15</v>
      </c>
      <c r="D43" s="19">
        <v>1</v>
      </c>
      <c r="E43" s="19">
        <v>7</v>
      </c>
      <c r="F43" s="21">
        <v>2</v>
      </c>
      <c r="G43" t="str">
        <f>IF(OR(AND(F43=2, C43="AI"),AND(F43=1, C43="사람")), "V", "")</f>
        <v/>
      </c>
      <c r="J43" s="5" t="s">
        <v>13</v>
      </c>
    </row>
    <row r="44" spans="1:13" ht="15.75" customHeight="1" x14ac:dyDescent="0.2">
      <c r="A44" s="12">
        <v>45786.645219907405</v>
      </c>
      <c r="B44" s="13" t="s">
        <v>83</v>
      </c>
      <c r="C44" s="14" t="s">
        <v>15</v>
      </c>
      <c r="D44" s="16">
        <v>5</v>
      </c>
      <c r="E44" s="16">
        <v>4</v>
      </c>
      <c r="F44" s="21">
        <v>2</v>
      </c>
      <c r="G44" t="str">
        <f t="shared" ref="G44:G45" si="4">IF(OR(AND(F44=2, C44="AI"),AND(F44=1, C44="사람")), "V", "")</f>
        <v/>
      </c>
      <c r="J44" s="5" t="s">
        <v>18</v>
      </c>
    </row>
    <row r="45" spans="1:13" ht="15.75" customHeight="1" x14ac:dyDescent="0.2">
      <c r="A45" s="22">
        <v>45789.712511574071</v>
      </c>
      <c r="B45" s="23" t="s">
        <v>84</v>
      </c>
      <c r="C45" s="24" t="s">
        <v>12</v>
      </c>
      <c r="D45" s="26">
        <v>2</v>
      </c>
      <c r="E45" s="26">
        <v>6</v>
      </c>
      <c r="F45" s="21">
        <v>1</v>
      </c>
      <c r="G45" t="str">
        <f t="shared" si="4"/>
        <v/>
      </c>
      <c r="J45" s="5" t="s">
        <v>18</v>
      </c>
    </row>
    <row r="46" spans="1:13" ht="15.75" customHeight="1" x14ac:dyDescent="0.2">
      <c r="A46" s="27">
        <v>45797.692962962959</v>
      </c>
      <c r="B46" s="28" t="s">
        <v>85</v>
      </c>
      <c r="C46" s="29" t="s">
        <v>12</v>
      </c>
      <c r="D46" s="30">
        <v>2</v>
      </c>
      <c r="E46" s="30">
        <v>7</v>
      </c>
      <c r="F46" s="31">
        <v>1</v>
      </c>
      <c r="G46" s="32" t="str">
        <f>IF(OR(AND(F46=2, C46="AI"),AND(F46=1, C46="사람")), "V", "")</f>
        <v/>
      </c>
      <c r="J46" s="5" t="s">
        <v>13</v>
      </c>
    </row>
    <row r="47" spans="1:13" ht="15.75" customHeight="1" x14ac:dyDescent="0.2">
      <c r="A47" s="33">
        <v>45798.688634259262</v>
      </c>
      <c r="B47" s="34" t="s">
        <v>86</v>
      </c>
      <c r="C47" s="35" t="s">
        <v>15</v>
      </c>
      <c r="D47" s="36">
        <v>2</v>
      </c>
      <c r="E47" s="36">
        <v>2</v>
      </c>
      <c r="F47" s="37">
        <v>2</v>
      </c>
      <c r="G47" s="32" t="str">
        <f t="shared" ref="G47:G48" si="5">IF(OR(AND(F47=2, C47="AI"),AND(F47=1, C47="사람")), "V", "")</f>
        <v/>
      </c>
      <c r="J47" s="5" t="s">
        <v>13</v>
      </c>
    </row>
    <row r="48" spans="1:13" ht="15.75" customHeight="1" x14ac:dyDescent="0.2">
      <c r="A48" s="39">
        <v>45799.627812500003</v>
      </c>
      <c r="B48" s="40" t="s">
        <v>87</v>
      </c>
      <c r="C48" s="41" t="s">
        <v>12</v>
      </c>
      <c r="D48" s="42">
        <v>3</v>
      </c>
      <c r="E48" s="42">
        <v>5</v>
      </c>
      <c r="F48" s="31">
        <v>1</v>
      </c>
      <c r="G48" s="32" t="str">
        <f t="shared" si="5"/>
        <v/>
      </c>
      <c r="H48" s="5"/>
      <c r="J48" s="5" t="s">
        <v>18</v>
      </c>
      <c r="M48" s="5" t="s">
        <v>88</v>
      </c>
    </row>
    <row r="49" spans="1:14" ht="15.75" customHeight="1" x14ac:dyDescent="0.2">
      <c r="A49" s="33">
        <v>45810.574120370373</v>
      </c>
      <c r="B49" s="34" t="s">
        <v>89</v>
      </c>
      <c r="C49" s="35" t="s">
        <v>12</v>
      </c>
      <c r="D49" s="36">
        <v>5</v>
      </c>
      <c r="E49" s="36">
        <v>6</v>
      </c>
      <c r="F49" s="37">
        <v>1</v>
      </c>
      <c r="G49" s="38" t="str">
        <f>IF(OR(AND(F49=2, C49="AI"),AND(F49=1, C49="사람")), "V", "")</f>
        <v/>
      </c>
      <c r="J49" s="5" t="s">
        <v>13</v>
      </c>
      <c r="M49" s="5" t="s">
        <v>90</v>
      </c>
    </row>
    <row r="50" spans="1:14" ht="15.75" customHeight="1" x14ac:dyDescent="0.2">
      <c r="A50" s="27">
        <v>45810.638703703706</v>
      </c>
      <c r="B50" s="28" t="s">
        <v>91</v>
      </c>
      <c r="C50" s="29" t="s">
        <v>15</v>
      </c>
      <c r="D50" s="30">
        <v>2</v>
      </c>
      <c r="E50" s="30">
        <v>6</v>
      </c>
      <c r="F50" s="31">
        <v>2</v>
      </c>
      <c r="G50" s="38" t="str">
        <f t="shared" ref="G50:G56" si="6">IF(OR(AND(F50=2, C50="AI"),AND(F50=1, C50="사람")), "V", "")</f>
        <v/>
      </c>
      <c r="J50" s="5" t="s">
        <v>13</v>
      </c>
    </row>
    <row r="51" spans="1:14" ht="15.75" customHeight="1" x14ac:dyDescent="0.2">
      <c r="A51" s="33">
        <v>45811.694432870368</v>
      </c>
      <c r="B51" s="34" t="s">
        <v>92</v>
      </c>
      <c r="C51" s="35" t="s">
        <v>12</v>
      </c>
      <c r="D51" s="36">
        <v>2</v>
      </c>
      <c r="E51" s="36">
        <v>5</v>
      </c>
      <c r="F51" s="37">
        <v>1</v>
      </c>
      <c r="G51" s="38" t="str">
        <f t="shared" si="6"/>
        <v/>
      </c>
      <c r="J51" s="5" t="s">
        <v>13</v>
      </c>
    </row>
    <row r="52" spans="1:14" ht="15.75" customHeight="1" x14ac:dyDescent="0.2">
      <c r="A52" s="27">
        <v>45812.654224537036</v>
      </c>
      <c r="B52" s="28" t="s">
        <v>93</v>
      </c>
      <c r="C52" s="29" t="s">
        <v>12</v>
      </c>
      <c r="D52" s="30">
        <v>5</v>
      </c>
      <c r="E52" s="30">
        <v>4</v>
      </c>
      <c r="F52" s="31">
        <v>2</v>
      </c>
      <c r="G52" s="38" t="str">
        <f t="shared" si="6"/>
        <v>V</v>
      </c>
      <c r="J52" s="5" t="s">
        <v>18</v>
      </c>
    </row>
    <row r="53" spans="1:14" ht="15.75" customHeight="1" x14ac:dyDescent="0.2">
      <c r="A53" s="33">
        <v>45812.720011574071</v>
      </c>
      <c r="B53" s="34" t="s">
        <v>94</v>
      </c>
      <c r="C53" s="35" t="s">
        <v>12</v>
      </c>
      <c r="D53" s="36">
        <v>2</v>
      </c>
      <c r="E53" s="36">
        <v>5</v>
      </c>
      <c r="F53" s="37">
        <v>1</v>
      </c>
      <c r="G53" s="38" t="str">
        <f t="shared" si="6"/>
        <v/>
      </c>
      <c r="J53" s="5" t="s">
        <v>18</v>
      </c>
    </row>
    <row r="54" spans="1:14" ht="15.75" customHeight="1" x14ac:dyDescent="0.2">
      <c r="A54" s="27">
        <v>45813.812615740739</v>
      </c>
      <c r="B54" s="28" t="s">
        <v>95</v>
      </c>
      <c r="C54" s="29" t="s">
        <v>12</v>
      </c>
      <c r="D54" s="30">
        <v>6</v>
      </c>
      <c r="E54" s="30">
        <v>4</v>
      </c>
      <c r="F54" s="31">
        <v>2</v>
      </c>
      <c r="G54" s="38" t="str">
        <f t="shared" si="6"/>
        <v>V</v>
      </c>
      <c r="J54" s="5" t="s">
        <v>18</v>
      </c>
    </row>
    <row r="55" spans="1:14" ht="15.75" customHeight="1" x14ac:dyDescent="0.2">
      <c r="A55" s="33">
        <v>45814.648819444446</v>
      </c>
      <c r="B55" s="34" t="s">
        <v>96</v>
      </c>
      <c r="C55" s="35" t="s">
        <v>12</v>
      </c>
      <c r="D55" s="36">
        <v>5</v>
      </c>
      <c r="E55" s="36">
        <v>4</v>
      </c>
      <c r="F55" s="37">
        <v>2</v>
      </c>
      <c r="G55" s="38" t="str">
        <f t="shared" si="6"/>
        <v>V</v>
      </c>
      <c r="J55" s="5" t="s">
        <v>13</v>
      </c>
    </row>
    <row r="56" spans="1:14" ht="15.75" customHeight="1" x14ac:dyDescent="0.2">
      <c r="A56" s="39">
        <v>45829.664513888885</v>
      </c>
      <c r="B56" s="40" t="s">
        <v>97</v>
      </c>
      <c r="C56" s="41" t="s">
        <v>15</v>
      </c>
      <c r="D56" s="42">
        <v>7</v>
      </c>
      <c r="E56" s="42">
        <v>2</v>
      </c>
      <c r="F56" s="31">
        <v>2</v>
      </c>
      <c r="G56" s="38" t="str">
        <f t="shared" si="6"/>
        <v/>
      </c>
      <c r="J56" s="5" t="s">
        <v>13</v>
      </c>
    </row>
    <row r="57" spans="1:14" ht="15.75" customHeight="1" x14ac:dyDescent="0.2">
      <c r="A57" s="43">
        <v>45854.485219907408</v>
      </c>
      <c r="B57" s="44">
        <v>60</v>
      </c>
      <c r="C57" s="45" t="s">
        <v>12</v>
      </c>
      <c r="D57" s="44">
        <v>5</v>
      </c>
      <c r="E57" s="44">
        <v>3</v>
      </c>
      <c r="F57" s="37">
        <v>1</v>
      </c>
      <c r="G57" s="5" t="str">
        <f>IF(OR(AND(F57=2, C57="AI"),AND(F57=1, C57="사람")), "V", "")</f>
        <v/>
      </c>
      <c r="J57" s="5" t="s">
        <v>18</v>
      </c>
    </row>
    <row r="58" spans="1:14" ht="17.25" customHeight="1" x14ac:dyDescent="0.2">
      <c r="A58" s="57" t="s">
        <v>108</v>
      </c>
      <c r="B58" s="58" t="s">
        <v>107</v>
      </c>
      <c r="C58" s="58" t="s">
        <v>15</v>
      </c>
      <c r="D58" s="59">
        <v>1</v>
      </c>
      <c r="E58" s="60">
        <v>7</v>
      </c>
      <c r="F58" s="60">
        <v>2</v>
      </c>
      <c r="G58" s="58" t="str">
        <f>IF(OR(AND(F58=2, C58="AI"),AND(F58=1, C58="사람")), "V", "")</f>
        <v/>
      </c>
      <c r="H58" s="60"/>
      <c r="J58" s="61" t="s">
        <v>13</v>
      </c>
    </row>
    <row r="59" spans="1:14" ht="15.75" customHeight="1" x14ac:dyDescent="0.2"/>
    <row r="60" spans="1:14" ht="15.75" customHeight="1" x14ac:dyDescent="0.2">
      <c r="K60" s="5" t="s">
        <v>98</v>
      </c>
      <c r="L60" s="47" t="s">
        <v>99</v>
      </c>
      <c r="M60" s="5" t="s">
        <v>13</v>
      </c>
      <c r="N60" s="21">
        <f>COUNTIFS(F$8:$F60,"1",J$8:$J60,"남")</f>
        <v>12</v>
      </c>
    </row>
    <row r="61" spans="1:14" ht="15.75" customHeight="1" x14ac:dyDescent="0.2">
      <c r="L61" s="21">
        <f>N60+N61</f>
        <v>25</v>
      </c>
      <c r="M61" s="5" t="s">
        <v>18</v>
      </c>
      <c r="N61" s="21">
        <f>COUNTIFS(F$8:$F60,"1",J$8:$J60,"여")</f>
        <v>13</v>
      </c>
    </row>
    <row r="62" spans="1:14" ht="15.75" customHeight="1" x14ac:dyDescent="0.2">
      <c r="L62" s="47" t="s">
        <v>100</v>
      </c>
      <c r="M62" s="5" t="s">
        <v>13</v>
      </c>
      <c r="N62" s="21">
        <f>COUNTIFS(F$8:$F60,"2",J$8:$J60,"남")</f>
        <v>13</v>
      </c>
    </row>
    <row r="63" spans="1:14" x14ac:dyDescent="0.2">
      <c r="L63" s="21">
        <f>N62+N63</f>
        <v>26</v>
      </c>
      <c r="M63" s="5" t="s">
        <v>18</v>
      </c>
      <c r="N63" s="21">
        <f>COUNTIFS(F$8:$F60,"2",J$8:$J60,"여")</f>
        <v>13</v>
      </c>
    </row>
    <row r="67" spans="11:15" x14ac:dyDescent="0.2">
      <c r="K67" t="s">
        <v>109</v>
      </c>
      <c r="L67" s="6">
        <f>COUNTIF(G$8:$G60,"V")</f>
        <v>8</v>
      </c>
      <c r="M67" s="47" t="s">
        <v>99</v>
      </c>
      <c r="N67" s="5" t="s">
        <v>13</v>
      </c>
      <c r="O67" s="21">
        <f>COUNTIFS(F$8:$F60,"1", G$8:$G60,"V", J8:J60,"남")</f>
        <v>2</v>
      </c>
    </row>
    <row r="68" spans="11:15" x14ac:dyDescent="0.2">
      <c r="M68" s="21">
        <f>COUNTIFS(F$8:$F60,"1", G$8:$G60,"V")</f>
        <v>2</v>
      </c>
      <c r="N68" s="5" t="s">
        <v>18</v>
      </c>
      <c r="O68" s="21">
        <f>COUNTIFS(F$8:$F60,"1", G$8:$G60,"V", J8:J60,"여")</f>
        <v>0</v>
      </c>
    </row>
    <row r="69" spans="11:15" x14ac:dyDescent="0.2">
      <c r="M69" s="47" t="s">
        <v>100</v>
      </c>
      <c r="N69" s="5" t="s">
        <v>13</v>
      </c>
      <c r="O69" s="21">
        <f>COUNTIFS(F$8:$F60,"2", G$8:$G60,"V", J8:J60,"남")</f>
        <v>2</v>
      </c>
    </row>
    <row r="70" spans="11:15" x14ac:dyDescent="0.2">
      <c r="M70" s="21">
        <f>COUNTIFS(F$8:$F60,"2", G$8:$G60,"V")</f>
        <v>6</v>
      </c>
      <c r="N70" s="5" t="s">
        <v>18</v>
      </c>
      <c r="O70" s="21">
        <f>COUNTIFS(F$8:$F60,"2", G$8:$G60,"V", J8:J60,"여")</f>
        <v>4</v>
      </c>
    </row>
  </sheetData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설문지 응답 시트</vt:lpstr>
      <vt:lpstr>설문지 응답 시트1 (_backup)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박주현</cp:lastModifiedBy>
  <dcterms:created xsi:type="dcterms:W3CDTF">2025-07-18T12:10:11Z</dcterms:created>
  <dcterms:modified xsi:type="dcterms:W3CDTF">2025-07-23T07:29:52Z</dcterms:modified>
</cp:coreProperties>
</file>